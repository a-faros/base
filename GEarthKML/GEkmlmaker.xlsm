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19095" yWindow="-9705" windowWidth="38625" windowHeight="21825"/>
  </bookViews>
  <sheets>
    <sheet name="Sheet1" sheetId="1" r:id="rId1"/>
    <sheet name="StyleMap" sheetId="2" r:id="rId2"/>
    <sheet name="CasStyle" sheetId="3" r:id="rId3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6" i="1" l="1"/>
  <c r="E58" i="1" s="1"/>
  <c r="O76" i="1"/>
  <c r="D58" i="1" s="1"/>
  <c r="O67" i="1"/>
  <c r="P67" i="1"/>
  <c r="O68" i="1"/>
  <c r="P68" i="1"/>
  <c r="O69" i="1"/>
  <c r="D69" i="1"/>
  <c r="E69" i="1"/>
  <c r="J69" i="1"/>
  <c r="D70" i="1" s="1"/>
  <c r="K69" i="1"/>
  <c r="E70" i="1" s="1"/>
  <c r="J70" i="1"/>
  <c r="D71" i="1" s="1"/>
  <c r="K70" i="1"/>
  <c r="E71" i="1" s="1"/>
  <c r="J71" i="1"/>
  <c r="D72" i="1" s="1"/>
  <c r="K71" i="1"/>
  <c r="E72" i="1" s="1"/>
  <c r="J72" i="1"/>
  <c r="D73" i="1" s="1"/>
  <c r="K72" i="1"/>
  <c r="E73" i="1" s="1"/>
  <c r="J73" i="1"/>
  <c r="D74" i="1" s="1"/>
  <c r="K73" i="1"/>
  <c r="E74" i="1" s="1"/>
  <c r="J74" i="1"/>
  <c r="D75" i="1" s="1"/>
  <c r="K74" i="1"/>
  <c r="E75" i="1" s="1"/>
  <c r="J75" i="1"/>
  <c r="D76" i="1" s="1"/>
  <c r="K75" i="1"/>
  <c r="E76" i="1" s="1"/>
  <c r="J76" i="1"/>
  <c r="D77" i="1" s="1"/>
  <c r="K76" i="1"/>
  <c r="E77" i="1" s="1"/>
  <c r="J77" i="1"/>
  <c r="D78" i="1" s="1"/>
  <c r="K77" i="1"/>
  <c r="E78" i="1" s="1"/>
  <c r="J78" i="1"/>
  <c r="D79" i="1" s="1"/>
  <c r="K78" i="1"/>
  <c r="E79" i="1" s="1"/>
  <c r="J79" i="1"/>
  <c r="D80" i="1" s="1"/>
  <c r="K79" i="1"/>
  <c r="E80" i="1" s="1"/>
  <c r="J80" i="1"/>
  <c r="D81" i="1" s="1"/>
  <c r="K80" i="1"/>
  <c r="E81" i="1" s="1"/>
  <c r="J81" i="1"/>
  <c r="D82" i="1" s="1"/>
  <c r="K81" i="1"/>
  <c r="E82" i="1" s="1"/>
  <c r="J82" i="1"/>
  <c r="D83" i="1" s="1"/>
  <c r="K82" i="1"/>
  <c r="E83" i="1" s="1"/>
  <c r="J83" i="1"/>
  <c r="D84" i="1" s="1"/>
  <c r="K83" i="1"/>
  <c r="E84" i="1" s="1"/>
  <c r="J84" i="1"/>
  <c r="D85" i="1" s="1"/>
  <c r="K84" i="1"/>
  <c r="E85" i="1" s="1"/>
  <c r="J85" i="1"/>
  <c r="K85" i="1"/>
  <c r="E64" i="1" l="1"/>
  <c r="D64" i="1"/>
  <c r="K68" i="1"/>
  <c r="J68" i="1"/>
  <c r="G66" i="1"/>
  <c r="G67" i="1" s="1"/>
  <c r="G65" i="1"/>
  <c r="K64" i="1"/>
  <c r="E65" i="1" s="1"/>
  <c r="K65" i="1" s="1"/>
  <c r="E66" i="1" s="1"/>
  <c r="K66" i="1" s="1"/>
  <c r="E67" i="1" s="1"/>
  <c r="K67" i="1" s="1"/>
  <c r="E68" i="1" s="1"/>
  <c r="J64" i="1"/>
  <c r="D65" i="1" s="1"/>
  <c r="J65" i="1" s="1"/>
  <c r="D66" i="1" s="1"/>
  <c r="J66" i="1" s="1"/>
  <c r="D67" i="1" s="1"/>
  <c r="J67" i="1" s="1"/>
  <c r="D68" i="1" s="1"/>
  <c r="A64" i="1"/>
  <c r="K63" i="1"/>
  <c r="J63" i="1"/>
  <c r="K62" i="1"/>
  <c r="E63" i="1" s="1"/>
  <c r="J62" i="1"/>
  <c r="D63" i="1" s="1"/>
  <c r="G60" i="1"/>
  <c r="G61" i="1" s="1"/>
  <c r="G59" i="1"/>
  <c r="K58" i="1"/>
  <c r="E59" i="1" s="1"/>
  <c r="K59" i="1" s="1"/>
  <c r="E60" i="1" s="1"/>
  <c r="K60" i="1" s="1"/>
  <c r="E61" i="1" s="1"/>
  <c r="K61" i="1" s="1"/>
  <c r="E62" i="1" s="1"/>
  <c r="J58" i="1"/>
  <c r="D59" i="1" s="1"/>
  <c r="J59" i="1" s="1"/>
  <c r="D60" i="1" s="1"/>
  <c r="J60" i="1" s="1"/>
  <c r="D61" i="1" s="1"/>
  <c r="J61" i="1" s="1"/>
  <c r="D62" i="1" s="1"/>
  <c r="A58" i="1"/>
  <c r="F88" i="1"/>
  <c r="K86" i="1"/>
  <c r="F86" i="1"/>
  <c r="J86" i="1" s="1"/>
  <c r="E86" i="1"/>
  <c r="E87" i="1" s="1"/>
  <c r="D86" i="1"/>
  <c r="D87" i="1" s="1"/>
  <c r="F92" i="1"/>
  <c r="F90" i="1"/>
  <c r="E90" i="1"/>
  <c r="D90" i="1"/>
  <c r="E91" i="1"/>
  <c r="K91" i="1" s="1"/>
  <c r="J90" i="1"/>
  <c r="D91" i="1"/>
  <c r="J57" i="1"/>
  <c r="K57" i="1"/>
  <c r="D94" i="1"/>
  <c r="J94" i="1" s="1"/>
  <c r="E94" i="1"/>
  <c r="E95" i="1" s="1"/>
  <c r="F94" i="1"/>
  <c r="D95" i="1"/>
  <c r="J95" i="1" s="1"/>
  <c r="F96" i="1"/>
  <c r="R33" i="1"/>
  <c r="R35" i="1" s="1"/>
  <c r="Q33" i="1"/>
  <c r="Q35" i="1" s="1"/>
  <c r="O1" i="1"/>
  <c r="E2" i="1"/>
  <c r="D2" i="1"/>
  <c r="G54" i="1"/>
  <c r="G55" i="1" s="1"/>
  <c r="G53" i="1"/>
  <c r="A52" i="1"/>
  <c r="J56" i="1"/>
  <c r="D57" i="1" s="1"/>
  <c r="K56" i="1"/>
  <c r="E57" i="1" s="1"/>
  <c r="A46" i="1"/>
  <c r="A40" i="1"/>
  <c r="K51" i="1"/>
  <c r="J51" i="1"/>
  <c r="G47" i="1"/>
  <c r="G48" i="1"/>
  <c r="G49" i="1" s="1"/>
  <c r="J50" i="1"/>
  <c r="D51" i="1" s="1"/>
  <c r="K50" i="1"/>
  <c r="E51" i="1" s="1"/>
  <c r="J44" i="1"/>
  <c r="D45" i="1" s="1"/>
  <c r="K44" i="1"/>
  <c r="E45" i="1" s="1"/>
  <c r="P61" i="1"/>
  <c r="Q61" i="1" s="1"/>
  <c r="P62" i="1"/>
  <c r="O62" i="1"/>
  <c r="O61" i="1"/>
  <c r="Q60" i="1"/>
  <c r="G43" i="1"/>
  <c r="G42" i="1"/>
  <c r="G41" i="1"/>
  <c r="K87" i="1" l="1"/>
  <c r="E88" i="1"/>
  <c r="K88" i="1" s="1"/>
  <c r="J87" i="1"/>
  <c r="D88" i="1"/>
  <c r="J88" i="1" s="1"/>
  <c r="D92" i="1"/>
  <c r="J91" i="1"/>
  <c r="K92" i="1"/>
  <c r="K90" i="1"/>
  <c r="E92" i="1"/>
  <c r="J92" i="1"/>
  <c r="E96" i="1"/>
  <c r="K95" i="1"/>
  <c r="D96" i="1"/>
  <c r="K94" i="1"/>
  <c r="E46" i="1" s="1"/>
  <c r="K46" i="1" s="1"/>
  <c r="E47" i="1" s="1"/>
  <c r="K47" i="1" s="1"/>
  <c r="E48" i="1" s="1"/>
  <c r="K48" i="1" s="1"/>
  <c r="E49" i="1" s="1"/>
  <c r="K49" i="1" s="1"/>
  <c r="E50" i="1" s="1"/>
  <c r="Q62" i="1"/>
  <c r="R60" i="1"/>
  <c r="T60" i="1" s="1"/>
  <c r="R62" i="1"/>
  <c r="T62" i="1" s="1"/>
  <c r="R61" i="1"/>
  <c r="T61" i="1" s="1"/>
  <c r="D46" i="1"/>
  <c r="J46" i="1" s="1"/>
  <c r="D47" i="1" s="1"/>
  <c r="J47" i="1" s="1"/>
  <c r="D48" i="1" s="1"/>
  <c r="J48" i="1" s="1"/>
  <c r="D49" i="1" s="1"/>
  <c r="J49" i="1" s="1"/>
  <c r="D50" i="1" s="1"/>
  <c r="E89" i="1" l="1"/>
  <c r="D89" i="1"/>
  <c r="J96" i="1"/>
  <c r="D97" i="1" s="1"/>
  <c r="K96" i="1"/>
  <c r="E97" i="1" s="1"/>
  <c r="E28" i="1" l="1"/>
  <c r="D28" i="1"/>
  <c r="J38" i="1"/>
  <c r="D39" i="1" s="1"/>
  <c r="K38" i="1"/>
  <c r="E39" i="1" s="1"/>
  <c r="J39" i="1"/>
  <c r="K39" i="1"/>
  <c r="K2" i="1"/>
  <c r="J2" i="1"/>
  <c r="D3" i="1" s="1"/>
  <c r="J3" i="1" s="1"/>
  <c r="E52" i="1"/>
  <c r="K52" i="1" s="1"/>
  <c r="E53" i="1" s="1"/>
  <c r="K53" i="1" s="1"/>
  <c r="E54" i="1" s="1"/>
  <c r="D93" i="1"/>
  <c r="E93" i="1"/>
  <c r="D98" i="1"/>
  <c r="E98" i="1"/>
  <c r="D99" i="1"/>
  <c r="E99" i="1"/>
  <c r="D100" i="1"/>
  <c r="E100" i="1"/>
  <c r="S1" i="1"/>
  <c r="D52" i="1" l="1"/>
  <c r="J52" i="1" s="1"/>
  <c r="D53" i="1" s="1"/>
  <c r="J53" i="1" s="1"/>
  <c r="D54" i="1" s="1"/>
  <c r="J54" i="1" s="1"/>
  <c r="D55" i="1" s="1"/>
  <c r="J55" i="1" s="1"/>
  <c r="D56" i="1" s="1"/>
  <c r="K54" i="1"/>
  <c r="E55" i="1" s="1"/>
  <c r="K55" i="1" s="1"/>
  <c r="E56" i="1" s="1"/>
  <c r="E40" i="1"/>
  <c r="D40" i="1"/>
  <c r="K45" i="1"/>
  <c r="J45" i="1"/>
  <c r="D4" i="1"/>
  <c r="E3" i="1"/>
  <c r="K3" i="1" s="1"/>
  <c r="J40" i="1" l="1"/>
  <c r="D41" i="1" s="1"/>
  <c r="J41" i="1" s="1"/>
  <c r="D42" i="1" s="1"/>
  <c r="J42" i="1" s="1"/>
  <c r="D43" i="1" s="1"/>
  <c r="J43" i="1" s="1"/>
  <c r="D44" i="1" s="1"/>
  <c r="J4" i="1"/>
  <c r="D5" i="1" s="1"/>
  <c r="E4" i="1"/>
  <c r="K4" i="1" s="1"/>
  <c r="E5" i="1" s="1"/>
  <c r="K40" i="1" l="1"/>
  <c r="E41" i="1" s="1"/>
  <c r="K41" i="1" s="1"/>
  <c r="E42" i="1" s="1"/>
  <c r="K42" i="1" s="1"/>
  <c r="E43" i="1" s="1"/>
  <c r="K43" i="1" s="1"/>
  <c r="E44" i="1" s="1"/>
  <c r="K5" i="1"/>
  <c r="E6" i="1" s="1"/>
  <c r="K6" i="1" s="1"/>
  <c r="E7" i="1" s="1"/>
  <c r="K7" i="1" s="1"/>
  <c r="K8" i="1" s="1"/>
  <c r="E9" i="1" s="1"/>
  <c r="J5" i="1"/>
  <c r="D6" i="1" s="1"/>
  <c r="J6" i="1" s="1"/>
  <c r="D7" i="1" s="1"/>
  <c r="J7" i="1" s="1"/>
  <c r="J8" i="1" s="1"/>
  <c r="D9" i="1" s="1"/>
  <c r="J9" i="1" s="1"/>
  <c r="D10" i="1" s="1"/>
  <c r="J10" i="1" l="1"/>
  <c r="D11" i="1" s="1"/>
  <c r="K9" i="1"/>
  <c r="E10" i="1" s="1"/>
  <c r="K10" i="1" l="1"/>
  <c r="E11" i="1" s="1"/>
  <c r="J11" i="1"/>
  <c r="D12" i="1" s="1"/>
  <c r="J12" i="1" l="1"/>
  <c r="D13" i="1" s="1"/>
  <c r="K11" i="1"/>
  <c r="E12" i="1" s="1"/>
  <c r="K12" i="1" l="1"/>
  <c r="E13" i="1" s="1"/>
  <c r="J13" i="1"/>
  <c r="D14" i="1" s="1"/>
  <c r="J14" i="1" l="1"/>
  <c r="D15" i="1" s="1"/>
  <c r="K13" i="1"/>
  <c r="E14" i="1" s="1"/>
  <c r="K14" i="1" l="1"/>
  <c r="E15" i="1" s="1"/>
  <c r="J15" i="1"/>
  <c r="D16" i="1" s="1"/>
  <c r="J16" i="1" l="1"/>
  <c r="D17" i="1" s="1"/>
  <c r="K15" i="1"/>
  <c r="E16" i="1" s="1"/>
  <c r="K16" i="1" l="1"/>
  <c r="E17" i="1" s="1"/>
  <c r="J17" i="1"/>
  <c r="D18" i="1" s="1"/>
  <c r="J18" i="1" l="1"/>
  <c r="D19" i="1" s="1"/>
  <c r="K17" i="1"/>
  <c r="E18" i="1" s="1"/>
  <c r="K18" i="1" l="1"/>
  <c r="E19" i="1" s="1"/>
  <c r="J19" i="1"/>
  <c r="D20" i="1" s="1"/>
  <c r="J20" i="1" l="1"/>
  <c r="D21" i="1" s="1"/>
  <c r="K19" i="1"/>
  <c r="E20" i="1" s="1"/>
  <c r="K20" i="1" l="1"/>
  <c r="E21" i="1" s="1"/>
  <c r="J21" i="1"/>
  <c r="D22" i="1" s="1"/>
  <c r="J22" i="1" l="1"/>
  <c r="D23" i="1" s="1"/>
  <c r="K21" i="1"/>
  <c r="E22" i="1" s="1"/>
  <c r="K22" i="1" l="1"/>
  <c r="E23" i="1" s="1"/>
  <c r="J23" i="1"/>
  <c r="D24" i="1" s="1"/>
  <c r="J24" i="1" l="1"/>
  <c r="D25" i="1" s="1"/>
  <c r="K23" i="1"/>
  <c r="E24" i="1" s="1"/>
  <c r="K24" i="1" l="1"/>
  <c r="E25" i="1" s="1"/>
  <c r="J25" i="1"/>
  <c r="D26" i="1" s="1"/>
  <c r="J26" i="1" l="1"/>
  <c r="K25" i="1"/>
  <c r="E26" i="1" s="1"/>
  <c r="K26" i="1" l="1"/>
  <c r="J27" i="1"/>
  <c r="J28" i="1" l="1"/>
  <c r="D29" i="1" s="1"/>
  <c r="K27" i="1"/>
  <c r="K28" i="1" l="1"/>
  <c r="E29" i="1" s="1"/>
  <c r="J29" i="1"/>
  <c r="D30" i="1" s="1"/>
  <c r="J30" i="1" l="1"/>
  <c r="D31" i="1" s="1"/>
  <c r="K29" i="1"/>
  <c r="E30" i="1" s="1"/>
  <c r="K30" i="1" l="1"/>
  <c r="E31" i="1" s="1"/>
  <c r="J31" i="1"/>
  <c r="D32" i="1" s="1"/>
  <c r="J32" i="1" l="1"/>
  <c r="D33" i="1" s="1"/>
  <c r="K31" i="1"/>
  <c r="E32" i="1" s="1"/>
  <c r="K32" i="1" l="1"/>
  <c r="E33" i="1" s="1"/>
  <c r="J33" i="1"/>
  <c r="D34" i="1" s="1"/>
  <c r="J34" i="1" l="1"/>
  <c r="D35" i="1" s="1"/>
  <c r="K33" i="1"/>
  <c r="E34" i="1" s="1"/>
  <c r="K34" i="1" l="1"/>
  <c r="E35" i="1" s="1"/>
  <c r="J35" i="1" l="1"/>
  <c r="D36" i="1" s="1"/>
  <c r="J36" i="1" s="1"/>
  <c r="D37" i="1" s="1"/>
  <c r="J37" i="1" s="1"/>
  <c r="D38" i="1" s="1"/>
  <c r="K35" i="1" l="1"/>
  <c r="E36" i="1" s="1"/>
  <c r="K36" i="1" s="1"/>
  <c r="E37" i="1" s="1"/>
  <c r="K37" i="1" s="1"/>
  <c r="E38" i="1" s="1"/>
</calcChain>
</file>

<file path=xl/sharedStrings.xml><?xml version="1.0" encoding="utf-8"?>
<sst xmlns="http://schemas.openxmlformats.org/spreadsheetml/2006/main" count="142" uniqueCount="84">
  <si>
    <t>id</t>
  </si>
  <si>
    <t>name</t>
  </si>
  <si>
    <t>style</t>
  </si>
  <si>
    <t>longitude</t>
  </si>
  <si>
    <t>latitude</t>
  </si>
  <si>
    <t>lat2</t>
  </si>
  <si>
    <t>lon2</t>
  </si>
  <si>
    <t>length (m)</t>
  </si>
  <si>
    <t>angle (deg)</t>
  </si>
  <si>
    <t>add angle (deg)</t>
  </si>
  <si>
    <t>deg</t>
  </si>
  <si>
    <t>neg angle</t>
  </si>
  <si>
    <t>clockwise</t>
  </si>
  <si>
    <t>pos angle</t>
  </si>
  <si>
    <t>anticlockwise</t>
  </si>
  <si>
    <t>m</t>
  </si>
  <si>
    <t>normal</t>
  </si>
  <si>
    <t>highlight</t>
  </si>
  <si>
    <t>is_scale</t>
  </si>
  <si>
    <t>is_href</t>
  </si>
  <si>
    <t>is_hotspot</t>
  </si>
  <si>
    <t>ls_color</t>
  </si>
  <si>
    <t>ls_width</t>
  </si>
  <si>
    <t>ps_color</t>
  </si>
  <si>
    <t>bs_displaymode</t>
  </si>
  <si>
    <r>
      <t>https://earth.google.com/earth/rpc/cc/icon?color=1976d2</t>
    </r>
    <r>
      <rPr>
        <sz val="11"/>
        <color rgb="FF569CD6"/>
        <rFont val="Consolas"/>
        <family val="3"/>
      </rPr>
      <t>&amp;amp;</t>
    </r>
    <r>
      <rPr>
        <sz val="11"/>
        <color rgb="FFCCCCCC"/>
        <rFont val="Consolas"/>
        <family val="3"/>
      </rPr>
      <t>id=2000</t>
    </r>
    <r>
      <rPr>
        <sz val="11"/>
        <color rgb="FF569CD6"/>
        <rFont val="Consolas"/>
        <family val="3"/>
      </rPr>
      <t>&amp;amp;</t>
    </r>
    <r>
      <rPr>
        <sz val="11"/>
        <color rgb="FFCCCCCC"/>
        <rFont val="Consolas"/>
        <family val="3"/>
      </rPr>
      <t>scale=4</t>
    </r>
  </si>
  <si>
    <r>
      <t>x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"64"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y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"128"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xunits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"pixels"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yunits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"insetPixels"</t>
    </r>
  </si>
  <si>
    <t>ff6b7900</t>
  </si>
  <si>
    <t>00ffffff</t>
  </si>
  <si>
    <t>hide</t>
  </si>
  <si>
    <r>
      <t>&lt;?</t>
    </r>
    <r>
      <rPr>
        <sz val="11"/>
        <color rgb="FF569CD6"/>
        <rFont val="Consolas"/>
        <family val="3"/>
      </rPr>
      <t>xml</t>
    </r>
    <r>
      <rPr>
        <sz val="11"/>
        <color rgb="FF9CDCFE"/>
        <rFont val="Consolas"/>
        <family val="3"/>
      </rPr>
      <t xml:space="preserve"> version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"1.0"</t>
    </r>
    <r>
      <rPr>
        <sz val="11"/>
        <color rgb="FF9CDCFE"/>
        <rFont val="Consolas"/>
        <family val="3"/>
      </rPr>
      <t xml:space="preserve"> encoding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"UTF-8"</t>
    </r>
    <r>
      <rPr>
        <sz val="11"/>
        <color rgb="FF808080"/>
        <rFont val="Consolas"/>
        <family val="3"/>
      </rPr>
      <t>?&gt;&lt;</t>
    </r>
    <r>
      <rPr>
        <sz val="11"/>
        <color rgb="FF569CD6"/>
        <rFont val="Consolas"/>
        <family val="3"/>
      </rPr>
      <t>kml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"http://www.opengis.net/kml/2.2"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xmlns:gx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"http://www.google.com/kml/ext/2.2"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xmlns:kml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"http://www.opengis.net/kml/2.2"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xmlns:atom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"http://www.w3.org/2005/Atom"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Document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%name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%body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Document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kml</t>
    </r>
    <r>
      <rPr>
        <sz val="11"/>
        <color rgb="FF808080"/>
        <rFont val="Consolas"/>
        <family val="3"/>
      </rPr>
      <t>&gt;</t>
    </r>
  </si>
  <si>
    <t>ffa21f7b</t>
  </si>
  <si>
    <t>00757575</t>
  </si>
  <si>
    <t>ffd27619</t>
  </si>
  <si>
    <t>ff2dc0fb</t>
  </si>
  <si>
    <t>cs001</t>
  </si>
  <si>
    <t>cs002</t>
  </si>
  <si>
    <t>cs003</t>
  </si>
  <si>
    <t>cs004</t>
  </si>
  <si>
    <t>cs005</t>
  </si>
  <si>
    <t>cs006</t>
  </si>
  <si>
    <t>cs007</t>
  </si>
  <si>
    <t>cs008</t>
  </si>
  <si>
    <t>sm001</t>
  </si>
  <si>
    <t>sm002</t>
  </si>
  <si>
    <t>sm003</t>
  </si>
  <si>
    <t>sm004</t>
  </si>
  <si>
    <t>089BA6137530A49C12A1</t>
  </si>
  <si>
    <t>0EB988949C30A49DEFFD</t>
  </si>
  <si>
    <r>
      <rPr>
        <sz val="11"/>
        <color rgb="FF808080"/>
        <rFont val="Consolas"/>
        <family val="3"/>
      </rPr>
      <t>&lt;</t>
    </r>
    <r>
      <rPr>
        <sz val="11"/>
        <color rgb="FF569CD6"/>
        <rFont val="Consolas"/>
        <family val="3"/>
      </rPr>
      <t>gx:CascadingStyle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kml:id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"%1"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IconStyle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scale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%2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scale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Icon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href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%3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href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Icon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hotSpot</t>
    </r>
    <r>
      <rPr>
        <sz val="11"/>
        <color rgb="FFCCCCCC"/>
        <rFont val="Consolas"/>
        <family val="3"/>
      </rPr>
      <t xml:space="preserve"> %4</t>
    </r>
    <r>
      <rPr>
        <sz val="11"/>
        <color rgb="FF808080"/>
        <rFont val="Consolas"/>
        <family val="3"/>
      </rPr>
      <t>/&gt;&lt;/</t>
    </r>
    <r>
      <rPr>
        <sz val="11"/>
        <color rgb="FF569CD6"/>
        <rFont val="Consolas"/>
        <family val="3"/>
      </rPr>
      <t>IconStyle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LabelStyle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LabelStyle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LineStyle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%5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width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%6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width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LineStyle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PolyStyle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%7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color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PolyStyle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BalloonStyle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displayMode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%8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displayMode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BalloonStyle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Style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gx:CascadingStyle</t>
    </r>
    <r>
      <rPr>
        <sz val="11"/>
        <color rgb="FF808080"/>
        <rFont val="Consolas"/>
        <family val="3"/>
      </rPr>
      <t>&gt;</t>
    </r>
  </si>
  <si>
    <r>
      <rPr>
        <sz val="11"/>
        <color rgb="FF808080"/>
        <rFont val="Consolas"/>
        <family val="3"/>
      </rPr>
      <t>&lt;</t>
    </r>
    <r>
      <rPr>
        <sz val="11"/>
        <color rgb="FF569CD6"/>
        <rFont val="Consolas"/>
        <family val="3"/>
      </rPr>
      <t>StyleMap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"%1"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normal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%2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highlight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key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%3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Pair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StyleMap</t>
    </r>
    <r>
      <rPr>
        <sz val="11"/>
        <color rgb="FF808080"/>
        <rFont val="Consolas"/>
        <family val="3"/>
      </rPr>
      <t>&gt;</t>
    </r>
  </si>
  <si>
    <r>
      <rPr>
        <sz val="11"/>
        <color rgb="FF808080"/>
        <rFont val="Consolas"/>
        <family val="3"/>
      </rPr>
      <t>&lt;</t>
    </r>
    <r>
      <rPr>
        <sz val="11"/>
        <color rgb="FF569CD6"/>
        <rFont val="Consolas"/>
        <family val="3"/>
      </rPr>
      <t>Placemark</t>
    </r>
    <r>
      <rPr>
        <sz val="11"/>
        <color rgb="FFCCCCCC"/>
        <rFont val="Consolas"/>
        <family val="3"/>
      </rPr>
      <t xml:space="preserve"> </t>
    </r>
    <r>
      <rPr>
        <sz val="11"/>
        <color rgb="FF9CDCFE"/>
        <rFont val="Consolas"/>
        <family val="3"/>
      </rPr>
      <t>id</t>
    </r>
    <r>
      <rPr>
        <sz val="11"/>
        <color rgb="FFCCCCCC"/>
        <rFont val="Consolas"/>
        <family val="3"/>
      </rPr>
      <t>=</t>
    </r>
    <r>
      <rPr>
        <sz val="11"/>
        <color rgb="FFCE9178"/>
        <rFont val="Consolas"/>
        <family val="3"/>
      </rPr>
      <t>"%1"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%2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name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#%3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styleUrl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Polygon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outerBoundaryIs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LinearRing</t>
    </r>
    <r>
      <rPr>
        <sz val="11"/>
        <color rgb="FF808080"/>
        <rFont val="Consolas"/>
        <family val="3"/>
      </rPr>
      <t>&gt;&lt;</t>
    </r>
    <r>
      <rPr>
        <sz val="11"/>
        <color rgb="FF569CD6"/>
        <rFont val="Consolas"/>
        <family val="3"/>
      </rPr>
      <t>coordinates</t>
    </r>
    <r>
      <rPr>
        <sz val="11"/>
        <color rgb="FF808080"/>
        <rFont val="Consolas"/>
        <family val="3"/>
      </rPr>
      <t>&gt;</t>
    </r>
    <r>
      <rPr>
        <sz val="11"/>
        <color rgb="FFCCCCCC"/>
        <rFont val="Consolas"/>
        <family val="3"/>
      </rPr>
      <t>%4</t>
    </r>
    <r>
      <rPr>
        <sz val="11"/>
        <color rgb="FF808080"/>
        <rFont val="Consolas"/>
        <family val="3"/>
      </rPr>
      <t>&lt;/</t>
    </r>
    <r>
      <rPr>
        <sz val="11"/>
        <color rgb="FF569CD6"/>
        <rFont val="Consolas"/>
        <family val="3"/>
      </rPr>
      <t>coordinates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LinearRing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outerBoundaryIs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Polygon</t>
    </r>
    <r>
      <rPr>
        <sz val="11"/>
        <color rgb="FF808080"/>
        <rFont val="Consolas"/>
        <family val="3"/>
      </rPr>
      <t>&gt;&lt;/</t>
    </r>
    <r>
      <rPr>
        <sz val="11"/>
        <color rgb="FF569CD6"/>
        <rFont val="Consolas"/>
        <family val="3"/>
      </rPr>
      <t>Placemark</t>
    </r>
    <r>
      <rPr>
        <sz val="11"/>
        <color rgb="FF808080"/>
        <rFont val="Consolas"/>
        <family val="3"/>
      </rPr>
      <t>&gt;</t>
    </r>
  </si>
  <si>
    <t>title</t>
  </si>
  <si>
    <t>filename</t>
  </si>
  <si>
    <t>path</t>
  </si>
  <si>
    <t>C:\xampp\htdocs\base\GEarthKML\</t>
  </si>
  <si>
    <t>House</t>
  </si>
  <si>
    <t>Land Perimeter</t>
  </si>
  <si>
    <t xml:space="preserve">101.993045513652,2.82015286652791,0 101.992945736171,2.82019448163616,0 101.992766718501,2.82005781022045,0 101.9927805675,2.81995059283267,0 101.992872030192,2.81991244565011,0 101.992890049534,2.81995564929958,0 101.992823531213,2.81998339270508,0 101.992816606713,2.82003700139897,0 101.992952660142,2.8201408716749,0 101.993002548883,2.82012006412078,0 101.993024476466,2.81995030325679,0 101.992981512225,2.81991750211702,0 101.992914993904,2.81994524552252,0 101.992896974562,2.81990204187305,0 101.992988437253,2.81986389469049,0 101.993074365735,2.81992949697003,0 101.993045513652,2.82015286652791,0 101.992945736171,2.82019448163616,0 101.993045513652,2.82015286652791,0 </t>
  </si>
  <si>
    <t>&lt;Point&gt;</t>
  </si>
  <si>
    <t>            &lt;coordinates&gt;101.9929533512215,2.820258927857138,146.7398808087561&lt;/coordinates&gt;</t>
  </si>
  <si>
    <t>        &lt;/Point&gt;</t>
  </si>
  <si>
    <t>0EB988949C30A49DEFF</t>
  </si>
  <si>
    <t xml:space="preserve">101.993052468242,2.82025923645088,0 101.993127738492,2.81986087991175,0 101.993203008741,2.81946252337261,0 101.99325103116,2.81920837190064,0 101.992845675769,2.81921473973198,0 101.992419422055,2.8192214358604,0 101.992272640913,2.81952371969063,0 101.992095559107,2.81988840527669,0 101.991918477301,2.82025309086275,0 101.992241445847,2.82025478193756,0 101.992646845695,2.8202569046256,0 101.993052245543,2.82025902731364,0 101.993052468242,2.82025923645088,0 </t>
  </si>
  <si>
    <t>p3p</t>
  </si>
  <si>
    <t>p2p</t>
  </si>
  <si>
    <t>p1p</t>
  </si>
  <si>
    <t>p3</t>
  </si>
  <si>
    <t>p2</t>
  </si>
  <si>
    <t>p1</t>
  </si>
  <si>
    <t>C:\Users\153582\Documents\GitHub\base\GEarthKML\</t>
  </si>
  <si>
    <t>HouseZ.kml</t>
  </si>
  <si>
    <t>Build Perimeter</t>
  </si>
  <si>
    <t xml:space="preserve">101.993025441215,2.82023220942386,0 101.9932139681,2.81923445907883,0 101.99243640638,2.81924667399442,0 101.991959072534,2.82022970425196,0 101.993038787463,2.82023535767777,0 101.993025441215,2.82023220942386,0 </t>
  </si>
  <si>
    <t xml:space="preserve">101.992920321585,2.82000272690935,0 101.992985439349,2.81984442578263,0 101.992935449519,2.81982386227837,0 101.992870331756,2.8199821634051,0 101.992920321585,2.82000272690935,0 101.992920321585,2.82000272690935,0 </t>
  </si>
  <si>
    <t xml:space="preserve">101.992987219227,2.82023220942386,0 101.99305233699,2.82007390829713,0 101.993002347161,2.82005334479288,0 101.992937229397,2.82021164591961,0 101.992987219227,2.82023220942386,0 101.992987219227,2.82023220942386,0 </t>
  </si>
  <si>
    <t xml:space="preserve">101.993063912676,2.82002860497052,0 101.992905931664,2.82009449555858,0 101.99288512411,2.82004460681785,0 101.993043105122,2.81997871622979,0 101.993063912676,2.82002860497052,0 101.993063912676,2.82002860497052,0 </t>
  </si>
  <si>
    <t>q1</t>
  </si>
  <si>
    <t>q2</t>
  </si>
  <si>
    <t xml:space="preserve">101.993025441215,2.82023220942386,0 101.993057221987,2.82006401444067,0 101.993004107782,2.8200539784074,0 101.99297232701,2.82022217339059,0 101.993025441215,2.82023220942386,0 101.993025441215,2.82023220942386,0 </t>
  </si>
  <si>
    <t>q1 offset</t>
  </si>
  <si>
    <t>x</t>
  </si>
  <si>
    <t>y</t>
  </si>
  <si>
    <t xml:space="preserve">101.992944360134,2.82002049771215,0 101.992976140906,2.81985230272895,0 101.992923026701,2.81984226669569,0 101.992891245929,2.82001046167888,0 101.992944360134,2.82002049771215,0 101.992944360134,2.82002049771215,0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</si>
</sst>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0.00000000000000"/>
    <numFmt numFmtId="170" formatCode="_(* #,##0.0000000_);_(* \(#,##0.0000000\);_(* &quot;-&quot;??_);_(@_)"/>
    <numFmt numFmtId="171" formatCode="_(* #,##0.00000000_);_(* \(#,##0.00000000\);_(* &quot;-&quot;??_);_(@_)"/>
    <numFmt numFmtId="173" formatCode="_(* #,##0.000000000_);_(* \(#,##0.000000000\);_(* &quot;-&quot;??_);_(@_)"/>
    <numFmt numFmtId="175" formatCode="_(* #,##0.00000000000_);_(* \(#,##0.000000000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CCCCCC"/>
      <name val="Consolas"/>
      <family val="3"/>
    </font>
    <font>
      <sz val="11"/>
      <color rgb="FF569CD6"/>
      <name val="Consolas"/>
      <family val="3"/>
    </font>
    <font>
      <sz val="11"/>
      <color rgb="FF9CDCFE"/>
      <name val="Consolas"/>
      <family val="3"/>
    </font>
    <font>
      <sz val="11"/>
      <color rgb="FFCE9178"/>
      <name val="Consolas"/>
      <family val="3"/>
    </font>
    <font>
      <sz val="11"/>
      <color rgb="FF808080"/>
      <name val="Consolas"/>
      <family val="3"/>
    </font>
    <font>
      <sz val="11"/>
      <color rgb="FFFF0000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23">
    <xf numFmtId="0" fontId="0" fillId="0" borderId="0" xfId="0"/>
    <xf numFmtId="0" fontId="5" fillId="0" borderId="0" xfId="0" applyFont="1" applyAlignment="1">
      <alignment vertic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43" fontId="0" fillId="0" borderId="0" xfId="1" applyFont="1"/>
    <xf numFmtId="0" fontId="3" fillId="3" borderId="0" xfId="3" applyAlignment="1">
      <alignment horizontal="left"/>
    </xf>
    <xf numFmtId="164" fontId="3" fillId="3" borderId="0" xfId="3" applyNumberFormat="1" applyAlignment="1">
      <alignment horizontal="left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2" fillId="2" borderId="0" xfId="2"/>
    <xf numFmtId="0" fontId="4" fillId="4" borderId="1" xfId="4"/>
    <xf numFmtId="0" fontId="2" fillId="2" borderId="0" xfId="2" applyAlignment="1">
      <alignment vertical="center"/>
    </xf>
    <xf numFmtId="0" fontId="9" fillId="0" borderId="0" xfId="0" applyFont="1" applyAlignment="1">
      <alignment vertical="center"/>
    </xf>
    <xf numFmtId="49" fontId="0" fillId="0" borderId="0" xfId="0" applyNumberFormat="1"/>
    <xf numFmtId="49" fontId="5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2" fontId="0" fillId="0" borderId="0" xfId="0" applyNumberFormat="1"/>
    <xf numFmtId="43" fontId="0" fillId="0" borderId="0" xfId="0" applyNumberFormat="1"/>
    <xf numFmtId="170" fontId="0" fillId="0" borderId="0" xfId="0" applyNumberFormat="1"/>
    <xf numFmtId="171" fontId="0" fillId="0" borderId="0" xfId="0" applyNumberFormat="1"/>
    <xf numFmtId="173" fontId="5" fillId="0" borderId="0" xfId="0" applyNumberFormat="1" applyFont="1" applyAlignment="1">
      <alignment vertical="center"/>
    </xf>
    <xf numFmtId="175" fontId="5" fillId="0" borderId="0" xfId="0" applyNumberFormat="1" applyFont="1" applyAlignment="1">
      <alignment vertical="center"/>
    </xf>
    <xf numFmtId="175" fontId="0" fillId="0" borderId="0" xfId="0" applyNumberFormat="1" applyAlignment="1">
      <alignment horizontal="left"/>
    </xf>
  </cellXfs>
  <cellStyles count="5">
    <cellStyle name="Comma" xfId="1" builtinId="3"/>
    <cellStyle name="Good" xfId="2" builtinId="26"/>
    <cellStyle name="Input" xfId="4" builtinId="20"/>
    <cellStyle name="Neutral" xfId="3" builtinId="2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171450</xdr:colOff>
      <xdr:row>6</xdr:row>
      <xdr:rowOff>47626</xdr:rowOff>
    </xdr:from>
    <xdr:to>
      <xdr:col>18</xdr:col>
      <xdr:colOff>447675</xdr:colOff>
      <xdr:row>7</xdr:row>
      <xdr:rowOff>180976</xdr:rowOff>
    </xdr:to>
    <xdr:sp macro="[0]!Macro1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4030325" y="1190626"/>
          <a:ext cx="1495425" cy="3238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Make</a:t>
          </a:r>
          <a:r>
            <a:rPr lang="en-US" sz="1100" baseline="0"/>
            <a:t> KML</a:t>
          </a:r>
          <a:endParaRPr lang="en-US" sz="1100"/>
        </a:p>
      </xdr:txBody>
    </xdr:sp>
    <xdr:clientData/>
  </xdr:twoCellAnchor>
  <xdr:twoCellAnchor>
    <xdr:from>
      <xdr:col>14</xdr:col>
      <xdr:colOff>680239</xdr:colOff>
      <xdr:row>45</xdr:row>
      <xdr:rowOff>48013</xdr:rowOff>
    </xdr:from>
    <xdr:to>
      <xdr:col>15</xdr:col>
      <xdr:colOff>689892</xdr:colOff>
      <xdr:row>53</xdr:row>
      <xdr:rowOff>66355</xdr:rowOff>
    </xdr:to>
    <xdr:grpSp>
      <xdr:nvGrpSpPr>
        <xdr:cNvPr id="3" name="Group 2"/>
        <xdr:cNvGrpSpPr/>
      </xdr:nvGrpSpPr>
      <xdr:grpSpPr>
        <a:xfrm rot="886869">
          <a:off x="15185453" y="8620513"/>
          <a:ext cx="877109" cy="1542342"/>
          <a:chOff x="7266359" y="6808703"/>
          <a:chExt cx="561713" cy="1550273"/>
        </a:xfrm>
      </xdr:grpSpPr>
      <xdr:grpSp>
        <xdr:nvGrpSpPr>
          <xdr:cNvPr id="4" name="Group 3"/>
          <xdr:cNvGrpSpPr/>
        </xdr:nvGrpSpPr>
        <xdr:grpSpPr>
          <a:xfrm>
            <a:off x="7390029" y="6808703"/>
            <a:ext cx="438043" cy="1550273"/>
            <a:chOff x="6763783" y="7114495"/>
            <a:chExt cx="437726" cy="1554700"/>
          </a:xfrm>
        </xdr:grpSpPr>
        <xdr:sp macro="" textlink="">
          <xdr:nvSpPr>
            <xdr:cNvPr id="9" name="Rectangle 8"/>
            <xdr:cNvSpPr/>
          </xdr:nvSpPr>
          <xdr:spPr>
            <a:xfrm rot="20700000">
              <a:off x="6845902" y="7979714"/>
              <a:ext cx="138230" cy="689481"/>
            </a:xfrm>
            <a:prstGeom prst="rect">
              <a:avLst/>
            </a:prstGeom>
            <a:noFill/>
            <a:ln w="3175">
              <a:solidFill>
                <a:schemeClr val="accent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" name="Rectangle 9"/>
            <xdr:cNvSpPr/>
          </xdr:nvSpPr>
          <xdr:spPr>
            <a:xfrm rot="20700000">
              <a:off x="6981938" y="7114495"/>
              <a:ext cx="138229" cy="689481"/>
            </a:xfrm>
            <a:prstGeom prst="rect">
              <a:avLst/>
            </a:prstGeom>
            <a:noFill/>
            <a:ln w="3175">
              <a:solidFill>
                <a:schemeClr val="accent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1" name="Rectangle 10"/>
            <xdr:cNvSpPr/>
          </xdr:nvSpPr>
          <xdr:spPr>
            <a:xfrm rot="18000000" flipV="1">
              <a:off x="6873780" y="7670498"/>
              <a:ext cx="217731" cy="437726"/>
            </a:xfrm>
            <a:prstGeom prst="rect">
              <a:avLst/>
            </a:prstGeom>
            <a:noFill/>
            <a:ln w="3175">
              <a:solidFill>
                <a:schemeClr val="accent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5" name="Trapezoid 4"/>
          <xdr:cNvSpPr>
            <a:spLocks noChangeAspect="1"/>
          </xdr:cNvSpPr>
        </xdr:nvSpPr>
        <xdr:spPr>
          <a:xfrm rot="1883361" flipV="1">
            <a:off x="7479204" y="7795412"/>
            <a:ext cx="324495" cy="323381"/>
          </a:xfrm>
          <a:prstGeom prst="trapezoid">
            <a:avLst>
              <a:gd name="adj" fmla="val 28796"/>
            </a:avLst>
          </a:prstGeom>
          <a:noFill/>
          <a:ln w="3175"/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6" name="Group 5"/>
          <xdr:cNvGrpSpPr/>
        </xdr:nvGrpSpPr>
        <xdr:grpSpPr>
          <a:xfrm>
            <a:off x="7266359" y="6871121"/>
            <a:ext cx="216156" cy="432000"/>
            <a:chOff x="8525721" y="7853079"/>
            <a:chExt cx="216156" cy="432000"/>
          </a:xfrm>
        </xdr:grpSpPr>
        <xdr:sp macro="" textlink="">
          <xdr:nvSpPr>
            <xdr:cNvPr id="7" name="Rectangle 6"/>
            <xdr:cNvSpPr/>
          </xdr:nvSpPr>
          <xdr:spPr>
            <a:xfrm>
              <a:off x="8525721" y="7853079"/>
              <a:ext cx="216156" cy="432000"/>
            </a:xfrm>
            <a:prstGeom prst="rect">
              <a:avLst/>
            </a:prstGeom>
            <a:noFill/>
            <a:ln w="3175"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" name="Rectangle 7"/>
            <xdr:cNvSpPr/>
          </xdr:nvSpPr>
          <xdr:spPr>
            <a:xfrm>
              <a:off x="8563803" y="7888222"/>
              <a:ext cx="124077" cy="360000"/>
            </a:xfrm>
            <a:prstGeom prst="rect">
              <a:avLst/>
            </a:prstGeom>
            <a:noFill/>
            <a:ln w="3175"/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15</xdr:col>
      <xdr:colOff>238198</xdr:colOff>
      <xdr:row>45</xdr:row>
      <xdr:rowOff>102391</xdr:rowOff>
    </xdr:from>
    <xdr:to>
      <xdr:col>15</xdr:col>
      <xdr:colOff>675420</xdr:colOff>
      <xdr:row>49</xdr:row>
      <xdr:rowOff>132391</xdr:rowOff>
    </xdr:to>
    <xdr:sp macro="" textlink="">
      <xdr:nvSpPr>
        <xdr:cNvPr id="14" name="Rectangle 13"/>
        <xdr:cNvSpPr/>
      </xdr:nvSpPr>
      <xdr:spPr>
        <a:xfrm rot="13131" flipH="1">
          <a:off x="15610868" y="8674891"/>
          <a:ext cx="437222" cy="792000"/>
        </a:xfrm>
        <a:prstGeom prst="rect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476250</xdr:colOff>
      <xdr:row>28</xdr:row>
      <xdr:rowOff>142875</xdr:rowOff>
    </xdr:from>
    <xdr:to>
      <xdr:col>13</xdr:col>
      <xdr:colOff>342900</xdr:colOff>
      <xdr:row>36</xdr:row>
      <xdr:rowOff>114299</xdr:rowOff>
    </xdr:to>
    <xdr:sp macro="" textlink="">
      <xdr:nvSpPr>
        <xdr:cNvPr id="15" name="Right Triangle 14"/>
        <xdr:cNvSpPr/>
      </xdr:nvSpPr>
      <xdr:spPr>
        <a:xfrm flipH="1" flipV="1">
          <a:off x="13363575" y="5476875"/>
          <a:ext cx="476250" cy="1495424"/>
        </a:xfrm>
        <a:prstGeom prst="rtTriangle">
          <a:avLst/>
        </a:prstGeom>
        <a:noFill/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00"/>
  <sheetViews>
    <sheetView tabSelected="1" topLeftCell="K4" zoomScale="280" zoomScaleNormal="280" workbookViewId="0">
      <selection activeCell="M77" sqref="M77"/>
    </sheetView>
  </sheetViews>
  <sheetFormatPr defaultRowHeight="15" x14ac:dyDescent="0.25"/>
  <cols>
    <col min="1" max="1" width="24.28515625" bestFit="1" customWidth="1"/>
    <col min="2" max="2" width="16" bestFit="1" customWidth="1"/>
    <col min="4" max="5" width="18.5703125" style="3" customWidth="1"/>
    <col min="6" max="7" width="18.5703125" customWidth="1"/>
    <col min="8" max="8" width="14.140625" customWidth="1"/>
    <col min="10" max="11" width="18.5703125" style="6" customWidth="1"/>
    <col min="14" max="14" width="15.140625" bestFit="1" customWidth="1"/>
    <col min="15" max="15" width="13" bestFit="1" customWidth="1"/>
    <col min="16" max="16" width="11" bestFit="1" customWidth="1"/>
    <col min="19" max="19" width="11.5703125" bestFit="1" customWidth="1"/>
  </cols>
  <sheetData>
    <row r="1" spans="1:20" x14ac:dyDescent="0.25">
      <c r="A1" t="s">
        <v>0</v>
      </c>
      <c r="B1" t="s">
        <v>1</v>
      </c>
      <c r="C1" t="s">
        <v>2</v>
      </c>
      <c r="D1" s="2" t="s">
        <v>4</v>
      </c>
      <c r="E1" s="2" t="s">
        <v>3</v>
      </c>
      <c r="F1" t="s">
        <v>7</v>
      </c>
      <c r="G1" t="s">
        <v>8</v>
      </c>
      <c r="H1" t="s">
        <v>9</v>
      </c>
      <c r="J1" s="5" t="s">
        <v>5</v>
      </c>
      <c r="K1" s="5" t="s">
        <v>6</v>
      </c>
      <c r="O1" s="19">
        <f>-3*Q1/S1</f>
        <v>-2.702702702702703E-5</v>
      </c>
      <c r="Q1">
        <v>1E-4</v>
      </c>
      <c r="R1" t="s">
        <v>10</v>
      </c>
      <c r="S1" s="4">
        <f>11.1</f>
        <v>11.1</v>
      </c>
      <c r="T1" t="s">
        <v>15</v>
      </c>
    </row>
    <row r="2" spans="1:20" x14ac:dyDescent="0.25">
      <c r="A2" s="8" t="s">
        <v>47</v>
      </c>
      <c r="B2" s="1" t="s">
        <v>72</v>
      </c>
      <c r="C2" s="10" t="s">
        <v>46</v>
      </c>
      <c r="D2" s="21">
        <f>D27+$O$1</f>
        <v>2.8202322094238577</v>
      </c>
      <c r="E2" s="20">
        <f>E27+$O$1</f>
        <v>101.99302544121512</v>
      </c>
      <c r="F2" s="16">
        <v>112.71</v>
      </c>
      <c r="G2">
        <v>169.3</v>
      </c>
      <c r="H2">
        <v>0</v>
      </c>
      <c r="J2" s="6">
        <f>IF(LEN(F2) &gt;0,D2+((COS(RADIANS(G2+H2))*F2)*$Q$1/$S$1),0)</f>
        <v>2.8192344590788267</v>
      </c>
      <c r="K2" s="6">
        <f>IF(LEN(F2) &gt;0,E2+((SIN(RADIANS(G2+H2))*F2)*$Q$1/$S$1),0)</f>
        <v>101.99321396809999</v>
      </c>
      <c r="M2" t="s">
        <v>73</v>
      </c>
    </row>
    <row r="3" spans="1:20" x14ac:dyDescent="0.25">
      <c r="A3" s="8"/>
      <c r="B3" s="1"/>
      <c r="C3" s="10"/>
      <c r="D3" s="3">
        <f>J2</f>
        <v>2.8192344590788267</v>
      </c>
      <c r="E3" s="3">
        <f>K2</f>
        <v>101.99321396809999</v>
      </c>
      <c r="F3" s="16">
        <v>86.32</v>
      </c>
      <c r="G3">
        <v>270.89999999999998</v>
      </c>
      <c r="J3" s="6">
        <f t="shared" ref="J3:J35" si="0">IF(LEN(F3) &gt;0,D3+((COS(RADIANS(G3+H3))*F3)*$Q$1/$S$1),0)</f>
        <v>2.8192466739944155</v>
      </c>
      <c r="K3" s="6">
        <f t="shared" ref="K3:K35" si="1">IF(LEN(F3) &gt;0,E3+((SIN(RADIANS(G3+H3))*F3)*$Q$1/$S$1),0)</f>
        <v>101.99243640638004</v>
      </c>
      <c r="Q3" t="s">
        <v>11</v>
      </c>
      <c r="R3" t="s">
        <v>12</v>
      </c>
    </row>
    <row r="4" spans="1:20" x14ac:dyDescent="0.25">
      <c r="C4" s="10"/>
      <c r="D4" s="3">
        <f t="shared" ref="D4:D67" si="2">J3</f>
        <v>2.8192466739944155</v>
      </c>
      <c r="E4" s="3">
        <f t="shared" ref="E4:E67" si="3">K3</f>
        <v>101.99243640638004</v>
      </c>
      <c r="F4" s="16">
        <v>121.3</v>
      </c>
      <c r="G4">
        <v>334.1</v>
      </c>
      <c r="H4">
        <v>0</v>
      </c>
      <c r="J4" s="6">
        <f t="shared" si="0"/>
        <v>2.8202297042519584</v>
      </c>
      <c r="K4" s="6">
        <f t="shared" si="1"/>
        <v>101.99195907253383</v>
      </c>
      <c r="N4" s="17"/>
      <c r="Q4" t="s">
        <v>13</v>
      </c>
      <c r="R4" t="s">
        <v>14</v>
      </c>
    </row>
    <row r="5" spans="1:20" x14ac:dyDescent="0.25">
      <c r="C5" s="10"/>
      <c r="D5" s="3">
        <f t="shared" si="2"/>
        <v>2.8202297042519584</v>
      </c>
      <c r="E5" s="3">
        <f t="shared" si="3"/>
        <v>101.99195907253383</v>
      </c>
      <c r="F5" s="16">
        <v>119.85</v>
      </c>
      <c r="G5">
        <v>89.7</v>
      </c>
      <c r="H5">
        <v>0</v>
      </c>
      <c r="J5" s="6">
        <f t="shared" si="0"/>
        <v>2.8202353576777708</v>
      </c>
      <c r="K5" s="6">
        <f t="shared" si="1"/>
        <v>101.99303878746289</v>
      </c>
    </row>
    <row r="6" spans="1:20" x14ac:dyDescent="0.25">
      <c r="C6" s="10"/>
      <c r="D6" s="3">
        <f t="shared" si="2"/>
        <v>2.8202353576777708</v>
      </c>
      <c r="E6" s="3">
        <f t="shared" si="3"/>
        <v>101.99303878746289</v>
      </c>
      <c r="F6" s="16"/>
      <c r="G6">
        <v>0</v>
      </c>
      <c r="H6">
        <v>0</v>
      </c>
      <c r="J6" s="6">
        <f t="shared" si="0"/>
        <v>0</v>
      </c>
      <c r="K6" s="6">
        <f t="shared" si="1"/>
        <v>0</v>
      </c>
    </row>
    <row r="7" spans="1:20" x14ac:dyDescent="0.25">
      <c r="C7" s="10"/>
      <c r="D7" s="3">
        <f t="shared" si="2"/>
        <v>0</v>
      </c>
      <c r="E7" s="3">
        <f t="shared" si="3"/>
        <v>0</v>
      </c>
      <c r="F7" s="16"/>
      <c r="G7">
        <v>0</v>
      </c>
      <c r="H7">
        <v>0</v>
      </c>
      <c r="J7" s="6">
        <f t="shared" si="0"/>
        <v>0</v>
      </c>
      <c r="K7" s="6">
        <f t="shared" si="1"/>
        <v>0</v>
      </c>
    </row>
    <row r="8" spans="1:20" x14ac:dyDescent="0.25">
      <c r="A8" s="8" t="s">
        <v>48</v>
      </c>
      <c r="B8" t="s">
        <v>56</v>
      </c>
      <c r="C8" s="10" t="s">
        <v>45</v>
      </c>
      <c r="D8" s="3">
        <v>2.8201528665279119</v>
      </c>
      <c r="E8" s="3">
        <v>101.99304551365213</v>
      </c>
      <c r="F8" s="16">
        <v>12</v>
      </c>
      <c r="G8">
        <v>292.64</v>
      </c>
      <c r="H8">
        <v>0</v>
      </c>
      <c r="J8" s="6">
        <f t="shared" si="0"/>
        <v>2.8201944816361579</v>
      </c>
      <c r="K8" s="6">
        <f t="shared" si="1"/>
        <v>101.99294573617068</v>
      </c>
      <c r="M8" t="s">
        <v>58</v>
      </c>
    </row>
    <row r="9" spans="1:20" x14ac:dyDescent="0.25">
      <c r="B9" s="1"/>
      <c r="C9" s="10"/>
      <c r="D9" s="3">
        <f t="shared" ref="D9:D26" si="4">J8</f>
        <v>2.8201944816361579</v>
      </c>
      <c r="E9" s="3">
        <f t="shared" ref="E9:E26" si="5">K8</f>
        <v>101.99294573617068</v>
      </c>
      <c r="F9" s="16">
        <v>25</v>
      </c>
      <c r="G9">
        <v>232.64</v>
      </c>
      <c r="H9">
        <v>0</v>
      </c>
      <c r="J9" s="6">
        <f t="shared" si="0"/>
        <v>2.8200578102204541</v>
      </c>
      <c r="K9" s="6">
        <f t="shared" si="1"/>
        <v>101.99276671850059</v>
      </c>
    </row>
    <row r="10" spans="1:20" x14ac:dyDescent="0.25">
      <c r="C10" s="10"/>
      <c r="D10" s="3">
        <f t="shared" si="4"/>
        <v>2.8200578102204541</v>
      </c>
      <c r="E10" s="3">
        <f t="shared" si="5"/>
        <v>101.99276671850059</v>
      </c>
      <c r="F10" s="16">
        <v>12</v>
      </c>
      <c r="G10">
        <v>172.64</v>
      </c>
      <c r="H10">
        <v>0</v>
      </c>
      <c r="J10" s="6">
        <f t="shared" si="0"/>
        <v>2.8199505928326705</v>
      </c>
      <c r="K10" s="6">
        <f t="shared" si="1"/>
        <v>101.99278056750039</v>
      </c>
    </row>
    <row r="11" spans="1:20" x14ac:dyDescent="0.25">
      <c r="C11" s="10"/>
      <c r="D11" s="3">
        <f t="shared" si="4"/>
        <v>2.8199505928326705</v>
      </c>
      <c r="E11" s="3">
        <f t="shared" si="5"/>
        <v>101.99278056750039</v>
      </c>
      <c r="F11" s="16">
        <v>11</v>
      </c>
      <c r="G11">
        <v>112.63999999999999</v>
      </c>
      <c r="H11">
        <v>0</v>
      </c>
      <c r="J11" s="6">
        <f t="shared" si="0"/>
        <v>2.8199124456501115</v>
      </c>
      <c r="K11" s="6">
        <f t="shared" si="1"/>
        <v>101.99287203019172</v>
      </c>
      <c r="O11" s="1" t="s">
        <v>49</v>
      </c>
    </row>
    <row r="12" spans="1:20" x14ac:dyDescent="0.25">
      <c r="C12" s="10"/>
      <c r="D12" s="3">
        <f t="shared" si="4"/>
        <v>2.8199124456501115</v>
      </c>
      <c r="E12" s="3">
        <f t="shared" si="5"/>
        <v>101.99287203019172</v>
      </c>
      <c r="F12" s="16">
        <v>5.1959999999999997</v>
      </c>
      <c r="G12">
        <v>22.639999999999986</v>
      </c>
      <c r="H12">
        <v>0</v>
      </c>
      <c r="J12" s="6">
        <f t="shared" si="0"/>
        <v>2.8199556492995792</v>
      </c>
      <c r="K12" s="6">
        <f t="shared" si="1"/>
        <v>101.99289004953359</v>
      </c>
      <c r="O12" s="1" t="s">
        <v>50</v>
      </c>
    </row>
    <row r="13" spans="1:20" x14ac:dyDescent="0.25">
      <c r="C13" s="10"/>
      <c r="D13" s="3">
        <f t="shared" si="4"/>
        <v>2.8199556492995792</v>
      </c>
      <c r="E13" s="3">
        <f t="shared" si="5"/>
        <v>101.99289004953359</v>
      </c>
      <c r="F13" s="16">
        <v>8</v>
      </c>
      <c r="G13">
        <v>-67.360000000000014</v>
      </c>
      <c r="H13">
        <v>0</v>
      </c>
      <c r="J13" s="6">
        <f t="shared" si="0"/>
        <v>2.8199833927050766</v>
      </c>
      <c r="K13" s="6">
        <f t="shared" si="1"/>
        <v>101.99282353121262</v>
      </c>
      <c r="O13" s="1" t="s">
        <v>51</v>
      </c>
    </row>
    <row r="14" spans="1:20" x14ac:dyDescent="0.25">
      <c r="C14" s="10"/>
      <c r="D14" s="3">
        <f t="shared" si="4"/>
        <v>2.8199833927050766</v>
      </c>
      <c r="E14" s="3">
        <f t="shared" si="5"/>
        <v>101.99282353121262</v>
      </c>
      <c r="F14" s="16">
        <v>6</v>
      </c>
      <c r="G14">
        <v>-7.3600000000000136</v>
      </c>
      <c r="H14">
        <v>0</v>
      </c>
      <c r="J14" s="6">
        <f t="shared" si="0"/>
        <v>2.8200370013989686</v>
      </c>
      <c r="K14" s="6">
        <f t="shared" si="1"/>
        <v>101.99281660671272</v>
      </c>
      <c r="O14" s="12" t="s">
        <v>30</v>
      </c>
    </row>
    <row r="15" spans="1:20" x14ac:dyDescent="0.25">
      <c r="C15" s="10"/>
      <c r="D15" s="3">
        <f t="shared" si="4"/>
        <v>2.8200370013989686</v>
      </c>
      <c r="E15" s="3">
        <f t="shared" si="5"/>
        <v>101.99281660671272</v>
      </c>
      <c r="F15" s="16">
        <v>19</v>
      </c>
      <c r="G15">
        <v>52.639999999999986</v>
      </c>
      <c r="H15">
        <v>0</v>
      </c>
      <c r="J15" s="6">
        <f t="shared" si="0"/>
        <v>2.8201408716749032</v>
      </c>
      <c r="K15" s="6">
        <f t="shared" si="1"/>
        <v>101.992952660142</v>
      </c>
    </row>
    <row r="16" spans="1:20" x14ac:dyDescent="0.25">
      <c r="A16" s="8"/>
      <c r="B16" s="1"/>
      <c r="C16" s="10"/>
      <c r="D16" s="3">
        <f t="shared" si="4"/>
        <v>2.8201408716749032</v>
      </c>
      <c r="E16" s="3">
        <f t="shared" si="5"/>
        <v>101.992952660142</v>
      </c>
      <c r="F16" s="16">
        <v>6</v>
      </c>
      <c r="G16">
        <v>112.63999999999999</v>
      </c>
      <c r="H16">
        <v>0</v>
      </c>
      <c r="J16" s="6">
        <f t="shared" si="0"/>
        <v>2.8201200641207804</v>
      </c>
      <c r="K16" s="6">
        <f t="shared" si="1"/>
        <v>101.99300254888271</v>
      </c>
      <c r="O16" s="15" t="s">
        <v>52</v>
      </c>
      <c r="P16" s="9">
        <v>1279</v>
      </c>
    </row>
    <row r="17" spans="1:16" x14ac:dyDescent="0.25">
      <c r="C17" s="10"/>
      <c r="D17" s="3">
        <f t="shared" si="4"/>
        <v>2.8201200641207804</v>
      </c>
      <c r="E17" s="3">
        <f t="shared" si="5"/>
        <v>101.99300254888271</v>
      </c>
      <c r="F17" s="16">
        <v>19</v>
      </c>
      <c r="G17">
        <v>172.64</v>
      </c>
      <c r="H17">
        <v>0</v>
      </c>
      <c r="J17" s="6">
        <f t="shared" si="0"/>
        <v>2.8199503032567894</v>
      </c>
      <c r="K17" s="6">
        <f t="shared" si="1"/>
        <v>101.99302447646573</v>
      </c>
      <c r="O17" s="15" t="s">
        <v>53</v>
      </c>
      <c r="P17" s="9" t="s">
        <v>71</v>
      </c>
    </row>
    <row r="18" spans="1:16" x14ac:dyDescent="0.25">
      <c r="C18" s="10"/>
      <c r="D18" s="3">
        <f t="shared" si="4"/>
        <v>2.8199503032567894</v>
      </c>
      <c r="E18" s="3">
        <f t="shared" si="5"/>
        <v>101.99302447646573</v>
      </c>
      <c r="F18" s="16">
        <v>6</v>
      </c>
      <c r="G18">
        <v>232.64</v>
      </c>
      <c r="H18">
        <v>0</v>
      </c>
      <c r="J18" s="6">
        <f t="shared" si="0"/>
        <v>2.8199175021170206</v>
      </c>
      <c r="K18" s="6">
        <f t="shared" si="1"/>
        <v>101.99298151222492</v>
      </c>
      <c r="O18" s="15" t="s">
        <v>54</v>
      </c>
      <c r="P18" s="9" t="s">
        <v>70</v>
      </c>
    </row>
    <row r="19" spans="1:16" x14ac:dyDescent="0.25">
      <c r="C19" s="10"/>
      <c r="D19" s="3">
        <f t="shared" si="4"/>
        <v>2.8199175021170206</v>
      </c>
      <c r="E19" s="3">
        <f t="shared" si="5"/>
        <v>101.99298151222492</v>
      </c>
      <c r="F19" s="16">
        <v>8</v>
      </c>
      <c r="G19">
        <v>292.64</v>
      </c>
      <c r="H19">
        <v>0</v>
      </c>
      <c r="J19" s="6">
        <f t="shared" si="0"/>
        <v>2.819945245522518</v>
      </c>
      <c r="K19" s="6">
        <f t="shared" si="1"/>
        <v>101.99291499390395</v>
      </c>
      <c r="P19" s="9" t="s">
        <v>55</v>
      </c>
    </row>
    <row r="20" spans="1:16" x14ac:dyDescent="0.25">
      <c r="C20" s="10"/>
      <c r="D20" s="3">
        <f t="shared" si="4"/>
        <v>2.819945245522518</v>
      </c>
      <c r="E20" s="3">
        <f t="shared" si="5"/>
        <v>101.99291499390395</v>
      </c>
      <c r="F20" s="16">
        <v>5.1959999999999997</v>
      </c>
      <c r="G20">
        <v>202.64</v>
      </c>
      <c r="H20">
        <v>0</v>
      </c>
      <c r="J20" s="6">
        <f t="shared" si="0"/>
        <v>2.8199020418730503</v>
      </c>
      <c r="K20" s="6">
        <f t="shared" si="1"/>
        <v>101.99289697456209</v>
      </c>
    </row>
    <row r="21" spans="1:16" x14ac:dyDescent="0.25">
      <c r="C21" s="10"/>
      <c r="D21" s="3">
        <f t="shared" si="4"/>
        <v>2.8199020418730503</v>
      </c>
      <c r="E21" s="3">
        <f t="shared" si="5"/>
        <v>101.99289697456209</v>
      </c>
      <c r="F21" s="16">
        <v>11</v>
      </c>
      <c r="G21">
        <v>112.63999999999999</v>
      </c>
      <c r="H21">
        <v>0</v>
      </c>
      <c r="J21" s="6">
        <f t="shared" si="0"/>
        <v>2.8198638946904913</v>
      </c>
      <c r="K21" s="6">
        <f t="shared" si="1"/>
        <v>101.99298843725342</v>
      </c>
    </row>
    <row r="22" spans="1:16" x14ac:dyDescent="0.25">
      <c r="C22" s="10"/>
      <c r="D22" s="3">
        <f t="shared" si="4"/>
        <v>2.8198638946904913</v>
      </c>
      <c r="E22" s="3">
        <f t="shared" si="5"/>
        <v>101.99298843725342</v>
      </c>
      <c r="F22" s="16">
        <v>12</v>
      </c>
      <c r="G22">
        <v>52.639999999999986</v>
      </c>
      <c r="H22">
        <v>0</v>
      </c>
      <c r="J22" s="6">
        <f t="shared" si="0"/>
        <v>2.8199294969700288</v>
      </c>
      <c r="K22" s="6">
        <f t="shared" si="1"/>
        <v>101.99307436573507</v>
      </c>
    </row>
    <row r="23" spans="1:16" x14ac:dyDescent="0.25">
      <c r="A23" s="8"/>
      <c r="B23" s="1"/>
      <c r="C23" s="10"/>
      <c r="D23" s="3">
        <f t="shared" si="4"/>
        <v>2.8199294969700288</v>
      </c>
      <c r="E23" s="3">
        <f t="shared" si="5"/>
        <v>101.99307436573507</v>
      </c>
      <c r="F23" s="16">
        <v>25</v>
      </c>
      <c r="G23">
        <v>-7.3600000000000136</v>
      </c>
      <c r="H23">
        <v>0</v>
      </c>
      <c r="J23" s="6">
        <f t="shared" si="0"/>
        <v>2.8201528665279119</v>
      </c>
      <c r="K23" s="6">
        <f t="shared" si="1"/>
        <v>101.99304551365215</v>
      </c>
      <c r="O23" t="s">
        <v>59</v>
      </c>
    </row>
    <row r="24" spans="1:16" x14ac:dyDescent="0.25">
      <c r="C24" s="10"/>
      <c r="D24" s="3">
        <f t="shared" si="4"/>
        <v>2.8201528665279119</v>
      </c>
      <c r="E24" s="3">
        <f t="shared" si="5"/>
        <v>101.99304551365215</v>
      </c>
      <c r="F24" s="16">
        <v>12</v>
      </c>
      <c r="G24">
        <v>-67.360000000000014</v>
      </c>
      <c r="H24">
        <v>0</v>
      </c>
      <c r="J24" s="6">
        <f t="shared" si="0"/>
        <v>2.8201944816361579</v>
      </c>
      <c r="K24" s="6">
        <f t="shared" si="1"/>
        <v>101.9929457361707</v>
      </c>
      <c r="O24" t="s">
        <v>60</v>
      </c>
    </row>
    <row r="25" spans="1:16" x14ac:dyDescent="0.25">
      <c r="C25" s="10"/>
      <c r="D25" s="3">
        <f t="shared" si="4"/>
        <v>2.8201944816361579</v>
      </c>
      <c r="E25" s="3">
        <f t="shared" si="5"/>
        <v>101.9929457361707</v>
      </c>
      <c r="F25" s="16"/>
      <c r="G25">
        <v>0</v>
      </c>
      <c r="H25">
        <v>0</v>
      </c>
      <c r="J25" s="6">
        <f t="shared" si="0"/>
        <v>0</v>
      </c>
      <c r="K25" s="6">
        <f t="shared" si="1"/>
        <v>0</v>
      </c>
      <c r="O25" t="s">
        <v>61</v>
      </c>
    </row>
    <row r="26" spans="1:16" x14ac:dyDescent="0.25">
      <c r="C26" s="10"/>
      <c r="D26" s="3">
        <f t="shared" si="4"/>
        <v>0</v>
      </c>
      <c r="E26" s="3">
        <f t="shared" si="5"/>
        <v>0</v>
      </c>
      <c r="F26" s="16"/>
      <c r="G26">
        <v>0</v>
      </c>
      <c r="H26">
        <v>0</v>
      </c>
      <c r="J26" s="6">
        <f t="shared" si="0"/>
        <v>0</v>
      </c>
      <c r="K26" s="6">
        <f t="shared" si="1"/>
        <v>0</v>
      </c>
    </row>
    <row r="27" spans="1:16" x14ac:dyDescent="0.25">
      <c r="A27" s="8" t="s">
        <v>62</v>
      </c>
      <c r="B27" s="1" t="s">
        <v>57</v>
      </c>
      <c r="C27" s="10" t="s">
        <v>44</v>
      </c>
      <c r="D27" s="1">
        <v>2.8202592364508847</v>
      </c>
      <c r="E27" s="1">
        <v>101.99305246824215</v>
      </c>
      <c r="F27" s="16">
        <v>45</v>
      </c>
      <c r="G27">
        <v>169.3</v>
      </c>
      <c r="H27">
        <v>0</v>
      </c>
      <c r="J27" s="6">
        <f t="shared" si="0"/>
        <v>2.8198608799117455</v>
      </c>
      <c r="K27" s="6">
        <f t="shared" si="1"/>
        <v>101.99312773849164</v>
      </c>
      <c r="M27" t="s">
        <v>63</v>
      </c>
    </row>
    <row r="28" spans="1:16" x14ac:dyDescent="0.25">
      <c r="C28" s="10"/>
      <c r="D28" s="3">
        <f t="shared" ref="D28:D54" si="6">J27</f>
        <v>2.8198608799117455</v>
      </c>
      <c r="E28" s="3">
        <f t="shared" ref="E28:E54" si="7">K27</f>
        <v>101.99312773849164</v>
      </c>
      <c r="F28" s="16">
        <v>45</v>
      </c>
      <c r="G28">
        <v>169.3</v>
      </c>
      <c r="H28">
        <v>0</v>
      </c>
      <c r="J28" s="6">
        <f t="shared" si="0"/>
        <v>2.8194625233726063</v>
      </c>
      <c r="K28" s="6">
        <f t="shared" si="1"/>
        <v>101.99320300874112</v>
      </c>
    </row>
    <row r="29" spans="1:16" x14ac:dyDescent="0.25">
      <c r="C29" s="10"/>
      <c r="D29" s="3">
        <f t="shared" si="6"/>
        <v>2.8194625233726063</v>
      </c>
      <c r="E29" s="3">
        <f t="shared" si="7"/>
        <v>101.99320300874112</v>
      </c>
      <c r="F29" s="16">
        <v>28.71</v>
      </c>
      <c r="G29">
        <v>169.3</v>
      </c>
      <c r="H29">
        <v>0</v>
      </c>
      <c r="J29" s="6">
        <f t="shared" si="0"/>
        <v>2.8192083719006353</v>
      </c>
      <c r="K29" s="6">
        <f t="shared" si="1"/>
        <v>101.99325103116028</v>
      </c>
    </row>
    <row r="30" spans="1:16" x14ac:dyDescent="0.25">
      <c r="C30" s="10"/>
      <c r="D30" s="3">
        <f t="shared" si="6"/>
        <v>2.8192083719006353</v>
      </c>
      <c r="E30" s="3">
        <f t="shared" si="7"/>
        <v>101.99325103116028</v>
      </c>
      <c r="F30" s="16">
        <v>45</v>
      </c>
      <c r="G30">
        <v>270.89999999999998</v>
      </c>
      <c r="H30">
        <v>0</v>
      </c>
      <c r="J30" s="6">
        <f t="shared" si="0"/>
        <v>2.819214739731978</v>
      </c>
      <c r="K30" s="6">
        <f t="shared" si="1"/>
        <v>101.99284567576873</v>
      </c>
    </row>
    <row r="31" spans="1:16" x14ac:dyDescent="0.25">
      <c r="C31" s="10"/>
      <c r="D31" s="3">
        <f t="shared" si="6"/>
        <v>2.819214739731978</v>
      </c>
      <c r="E31" s="3">
        <f t="shared" si="7"/>
        <v>101.99284567576873</v>
      </c>
      <c r="F31" s="16">
        <v>47.32</v>
      </c>
      <c r="G31">
        <v>270.89999999999998</v>
      </c>
      <c r="H31">
        <v>0</v>
      </c>
      <c r="J31" s="6">
        <f t="shared" si="0"/>
        <v>2.8192214358604031</v>
      </c>
      <c r="K31" s="6">
        <f t="shared" si="1"/>
        <v>101.99241942205478</v>
      </c>
      <c r="O31" s="16"/>
    </row>
    <row r="32" spans="1:16" x14ac:dyDescent="0.25">
      <c r="C32" s="10"/>
      <c r="D32" s="3">
        <f t="shared" si="6"/>
        <v>2.8192214358604031</v>
      </c>
      <c r="E32" s="3">
        <f t="shared" si="7"/>
        <v>101.99241942205478</v>
      </c>
      <c r="F32" s="16">
        <v>37.299999999999997</v>
      </c>
      <c r="G32">
        <v>334.1</v>
      </c>
      <c r="H32">
        <v>0</v>
      </c>
      <c r="J32" s="6">
        <f t="shared" si="0"/>
        <v>2.8195237196906286</v>
      </c>
      <c r="K32" s="6">
        <f t="shared" si="1"/>
        <v>101.99227264091328</v>
      </c>
    </row>
    <row r="33" spans="1:18" x14ac:dyDescent="0.25">
      <c r="C33" s="10"/>
      <c r="D33" s="3">
        <f t="shared" si="6"/>
        <v>2.8195237196906286</v>
      </c>
      <c r="E33" s="3">
        <f t="shared" si="7"/>
        <v>101.99227264091328</v>
      </c>
      <c r="F33" s="16">
        <v>45</v>
      </c>
      <c r="G33">
        <v>334.1</v>
      </c>
      <c r="H33">
        <v>0</v>
      </c>
      <c r="J33" s="6">
        <f t="shared" si="0"/>
        <v>2.8198884052766915</v>
      </c>
      <c r="K33" s="6">
        <f t="shared" si="1"/>
        <v>101.99209555910718</v>
      </c>
      <c r="P33">
        <v>89.7</v>
      </c>
      <c r="Q33">
        <f>SIN(RADIANS(P33))</f>
        <v>0.99998629224742674</v>
      </c>
      <c r="R33">
        <f>COS(RADIANS(P33))</f>
        <v>5.2359638314195371E-3</v>
      </c>
    </row>
    <row r="34" spans="1:18" x14ac:dyDescent="0.25">
      <c r="C34" s="10"/>
      <c r="D34" s="3">
        <f t="shared" si="6"/>
        <v>2.8198884052766915</v>
      </c>
      <c r="E34" s="3">
        <f t="shared" si="7"/>
        <v>101.99209555910718</v>
      </c>
      <c r="F34" s="16">
        <v>45</v>
      </c>
      <c r="G34">
        <v>334.1</v>
      </c>
      <c r="H34">
        <v>0</v>
      </c>
      <c r="J34" s="6">
        <f t="shared" si="0"/>
        <v>2.8202530908627543</v>
      </c>
      <c r="K34" s="6">
        <f t="shared" si="1"/>
        <v>101.99191847730108</v>
      </c>
    </row>
    <row r="35" spans="1:18" x14ac:dyDescent="0.25">
      <c r="C35" s="10"/>
      <c r="D35" s="3">
        <f t="shared" si="6"/>
        <v>2.8202530908627543</v>
      </c>
      <c r="E35" s="3">
        <f t="shared" si="7"/>
        <v>101.99191847730108</v>
      </c>
      <c r="F35" s="16">
        <v>35.85</v>
      </c>
      <c r="G35">
        <v>89.7</v>
      </c>
      <c r="H35">
        <v>0</v>
      </c>
      <c r="J35" s="6">
        <f t="shared" si="0"/>
        <v>2.8202547819375594</v>
      </c>
      <c r="K35" s="6">
        <f t="shared" si="1"/>
        <v>101.99224144584683</v>
      </c>
      <c r="P35">
        <v>25</v>
      </c>
      <c r="Q35">
        <f>P35*Q33</f>
        <v>24.999657306185668</v>
      </c>
      <c r="R35">
        <f>P35*R33</f>
        <v>0.13089909578548842</v>
      </c>
    </row>
    <row r="36" spans="1:18" x14ac:dyDescent="0.25">
      <c r="C36" s="10"/>
      <c r="D36" s="3">
        <f t="shared" si="6"/>
        <v>2.8202547819375594</v>
      </c>
      <c r="E36" s="3">
        <f t="shared" si="7"/>
        <v>101.99224144584683</v>
      </c>
      <c r="F36" s="16">
        <v>45</v>
      </c>
      <c r="G36">
        <v>89.7</v>
      </c>
      <c r="H36">
        <v>0</v>
      </c>
      <c r="J36" s="6">
        <f t="shared" ref="J36:K58" si="8">IF(LEN(F36) &gt;0,D36+((COS(RADIANS(G36+H36))*F36)*$Q$1/$S$1),0)</f>
        <v>2.820256904625599</v>
      </c>
      <c r="K36" s="6">
        <f t="shared" ref="K36:K58" si="9">IF(LEN(F36) &gt;0,E36+((SIN(RADIANS(G36+H36))*F36)*$Q$1/$S$1),0)</f>
        <v>101.99264684569503</v>
      </c>
    </row>
    <row r="37" spans="1:18" x14ac:dyDescent="0.25">
      <c r="C37" s="10"/>
      <c r="D37" s="3">
        <f t="shared" si="6"/>
        <v>2.820256904625599</v>
      </c>
      <c r="E37" s="3">
        <f t="shared" si="7"/>
        <v>101.99264684569503</v>
      </c>
      <c r="F37" s="16">
        <v>45</v>
      </c>
      <c r="G37">
        <v>89.7</v>
      </c>
      <c r="H37">
        <v>0</v>
      </c>
      <c r="J37" s="6">
        <f t="shared" si="8"/>
        <v>2.8202590273136385</v>
      </c>
      <c r="K37" s="6">
        <f t="shared" si="9"/>
        <v>101.99305224554324</v>
      </c>
    </row>
    <row r="38" spans="1:18" x14ac:dyDescent="0.25">
      <c r="C38" s="10"/>
      <c r="D38" s="3">
        <f t="shared" si="6"/>
        <v>2.8202590273136385</v>
      </c>
      <c r="E38" s="3">
        <f t="shared" si="7"/>
        <v>101.99305224554324</v>
      </c>
      <c r="F38" s="16"/>
      <c r="G38">
        <v>0</v>
      </c>
      <c r="H38">
        <v>0</v>
      </c>
      <c r="J38" s="6">
        <f t="shared" si="8"/>
        <v>0</v>
      </c>
      <c r="K38" s="6">
        <f t="shared" si="9"/>
        <v>0</v>
      </c>
    </row>
    <row r="39" spans="1:18" x14ac:dyDescent="0.25">
      <c r="C39" s="10"/>
      <c r="D39" s="3">
        <f t="shared" si="6"/>
        <v>0</v>
      </c>
      <c r="E39" s="3">
        <f t="shared" si="7"/>
        <v>0</v>
      </c>
      <c r="F39" s="16"/>
      <c r="G39">
        <v>0</v>
      </c>
      <c r="H39">
        <v>0</v>
      </c>
      <c r="J39" s="6">
        <f t="shared" si="8"/>
        <v>0</v>
      </c>
      <c r="K39" s="6">
        <f t="shared" si="9"/>
        <v>0</v>
      </c>
    </row>
    <row r="40" spans="1:18" x14ac:dyDescent="0.25">
      <c r="A40" s="8" t="str">
        <f>"0EB98894"&amp;UPPER(B40)</f>
        <v>0EB98894P1</v>
      </c>
      <c r="B40" t="s">
        <v>69</v>
      </c>
      <c r="C40" s="10" t="s">
        <v>43</v>
      </c>
      <c r="D40" s="3">
        <f>J96</f>
        <v>2.8200027269093488</v>
      </c>
      <c r="E40" s="3">
        <f>K96</f>
        <v>101.99292032158544</v>
      </c>
      <c r="F40" s="16">
        <v>19</v>
      </c>
      <c r="G40">
        <v>157.63999999999999</v>
      </c>
      <c r="H40">
        <v>0</v>
      </c>
      <c r="J40" s="6">
        <f t="shared" si="8"/>
        <v>2.8198444257826254</v>
      </c>
      <c r="K40" s="6">
        <f t="shared" si="9"/>
        <v>101.9929854393489</v>
      </c>
      <c r="M40" t="s">
        <v>74</v>
      </c>
    </row>
    <row r="41" spans="1:18" x14ac:dyDescent="0.25">
      <c r="B41" s="1"/>
      <c r="C41" s="10"/>
      <c r="D41" s="3">
        <f t="shared" ref="D41:D58" si="10">J40</f>
        <v>2.8198444257826254</v>
      </c>
      <c r="E41" s="3">
        <f t="shared" ref="E41:E58" si="11">K40</f>
        <v>101.9929854393489</v>
      </c>
      <c r="F41" s="16">
        <v>6</v>
      </c>
      <c r="G41">
        <f>G40+90</f>
        <v>247.64</v>
      </c>
      <c r="H41">
        <v>0</v>
      </c>
      <c r="J41" s="6">
        <f t="shared" si="8"/>
        <v>2.8198238622783744</v>
      </c>
      <c r="K41" s="6">
        <f t="shared" si="9"/>
        <v>101.99293544951941</v>
      </c>
    </row>
    <row r="42" spans="1:18" x14ac:dyDescent="0.25">
      <c r="C42" s="10"/>
      <c r="D42" s="3">
        <f t="shared" ref="D42:D56" si="12">J41</f>
        <v>2.8198238622783744</v>
      </c>
      <c r="E42" s="3">
        <f t="shared" ref="E42:E56" si="13">K41</f>
        <v>101.99293544951941</v>
      </c>
      <c r="F42" s="16">
        <v>19</v>
      </c>
      <c r="G42">
        <f>G41+90</f>
        <v>337.64</v>
      </c>
      <c r="H42">
        <v>0</v>
      </c>
      <c r="J42" s="6">
        <f t="shared" si="8"/>
        <v>2.8199821634050979</v>
      </c>
      <c r="K42" s="6">
        <f t="shared" si="9"/>
        <v>101.99287033175595</v>
      </c>
    </row>
    <row r="43" spans="1:18" x14ac:dyDescent="0.25">
      <c r="C43" s="10"/>
      <c r="D43" s="3">
        <f t="shared" si="12"/>
        <v>2.8199821634050979</v>
      </c>
      <c r="E43" s="3">
        <f t="shared" si="13"/>
        <v>101.99287033175595</v>
      </c>
      <c r="F43" s="16">
        <v>6</v>
      </c>
      <c r="G43">
        <f>G42+90</f>
        <v>427.64</v>
      </c>
      <c r="H43">
        <v>0</v>
      </c>
      <c r="J43" s="6">
        <f t="shared" ref="J43:J59" si="14">IF(LEN(F43) &gt;0,D43+((COS(RADIANS(G43+H43))*F43)*$Q$1/$S$1),0)</f>
        <v>2.8200027269093488</v>
      </c>
      <c r="K43" s="6">
        <f t="shared" ref="K43:K59" si="15">IF(LEN(F43) &gt;0,E43+((SIN(RADIANS(G43+H43))*F43)*$Q$1/$S$1),0)</f>
        <v>101.99292032158544</v>
      </c>
    </row>
    <row r="44" spans="1:18" x14ac:dyDescent="0.25">
      <c r="C44" s="10"/>
      <c r="D44" s="3">
        <f t="shared" ref="D44:D57" si="16">J43</f>
        <v>2.8200027269093488</v>
      </c>
      <c r="E44" s="3">
        <f t="shared" ref="E44:E57" si="17">K43</f>
        <v>101.99292032158544</v>
      </c>
      <c r="F44" s="16"/>
      <c r="H44">
        <v>0</v>
      </c>
      <c r="J44" s="6">
        <f t="shared" si="14"/>
        <v>0</v>
      </c>
      <c r="K44" s="6">
        <f t="shared" si="15"/>
        <v>0</v>
      </c>
    </row>
    <row r="45" spans="1:18" x14ac:dyDescent="0.25">
      <c r="C45" s="10"/>
      <c r="D45" s="3">
        <f t="shared" ref="D45" si="18">J44</f>
        <v>0</v>
      </c>
      <c r="E45" s="3">
        <f t="shared" ref="E45" si="19">K44</f>
        <v>0</v>
      </c>
      <c r="F45" s="16"/>
      <c r="J45" s="6">
        <f t="shared" si="14"/>
        <v>0</v>
      </c>
      <c r="K45" s="6">
        <f t="shared" si="15"/>
        <v>0</v>
      </c>
      <c r="M45" s="16"/>
    </row>
    <row r="46" spans="1:18" x14ac:dyDescent="0.25">
      <c r="A46" s="8" t="str">
        <f>"0EB98894"&amp;UPPER(B46)</f>
        <v>0EB98894P2</v>
      </c>
      <c r="B46" t="s">
        <v>68</v>
      </c>
      <c r="C46" s="10" t="s">
        <v>43</v>
      </c>
      <c r="D46" s="3">
        <f>J94</f>
        <v>2.8202322094238577</v>
      </c>
      <c r="E46" s="3">
        <f>K94</f>
        <v>101.99298721922695</v>
      </c>
      <c r="F46" s="16">
        <v>19</v>
      </c>
      <c r="G46">
        <v>157.63999999999999</v>
      </c>
      <c r="H46">
        <v>0</v>
      </c>
      <c r="J46" s="6">
        <f t="shared" ref="J46:J54" si="20">IF(LEN(F46) &gt;0,D46+((COS(RADIANS(G46+H46))*F46)*$Q$1/$S$1),0)</f>
        <v>2.8200739082971342</v>
      </c>
      <c r="K46" s="6">
        <f t="shared" ref="K46:K54" si="21">IF(LEN(F46) &gt;0,E46+((SIN(RADIANS(G46+H46))*F46)*$Q$1/$S$1),0)</f>
        <v>101.9930523369904</v>
      </c>
      <c r="M46" s="16" t="s">
        <v>75</v>
      </c>
    </row>
    <row r="47" spans="1:18" x14ac:dyDescent="0.25">
      <c r="C47" s="10"/>
      <c r="D47" s="3">
        <f t="shared" ref="D47:D54" si="22">J46</f>
        <v>2.8200739082971342</v>
      </c>
      <c r="E47" s="3">
        <f t="shared" ref="E47:E54" si="23">K46</f>
        <v>101.9930523369904</v>
      </c>
      <c r="F47" s="16">
        <v>6</v>
      </c>
      <c r="G47">
        <f>G46+90</f>
        <v>247.64</v>
      </c>
      <c r="H47">
        <v>0</v>
      </c>
      <c r="J47" s="6">
        <f t="shared" si="20"/>
        <v>2.8200533447928833</v>
      </c>
      <c r="K47" s="6">
        <f t="shared" si="21"/>
        <v>101.99300234716091</v>
      </c>
      <c r="M47" s="16"/>
    </row>
    <row r="48" spans="1:18" x14ac:dyDescent="0.25">
      <c r="A48" s="8"/>
      <c r="B48" s="1"/>
      <c r="C48" s="10"/>
      <c r="D48" s="3">
        <f t="shared" si="22"/>
        <v>2.8200533447928833</v>
      </c>
      <c r="E48" s="3">
        <f t="shared" si="23"/>
        <v>101.99300234716091</v>
      </c>
      <c r="F48" s="16">
        <v>19</v>
      </c>
      <c r="G48">
        <f>G47+90</f>
        <v>337.64</v>
      </c>
      <c r="H48">
        <v>0</v>
      </c>
      <c r="J48" s="6">
        <f t="shared" si="20"/>
        <v>2.8202116459196067</v>
      </c>
      <c r="K48" s="6">
        <f t="shared" si="21"/>
        <v>101.99293722939746</v>
      </c>
      <c r="M48" s="16"/>
    </row>
    <row r="49" spans="1:20" x14ac:dyDescent="0.25">
      <c r="C49" s="10"/>
      <c r="D49" s="3">
        <f t="shared" si="22"/>
        <v>2.8202116459196067</v>
      </c>
      <c r="E49" s="3">
        <f t="shared" si="23"/>
        <v>101.99293722939746</v>
      </c>
      <c r="F49" s="16">
        <v>6</v>
      </c>
      <c r="G49">
        <f>G48+90</f>
        <v>427.64</v>
      </c>
      <c r="H49">
        <v>0</v>
      </c>
      <c r="J49" s="6">
        <f t="shared" si="20"/>
        <v>2.8202322094238577</v>
      </c>
      <c r="K49" s="6">
        <f t="shared" si="21"/>
        <v>101.99298721922695</v>
      </c>
      <c r="M49" s="16"/>
    </row>
    <row r="50" spans="1:20" x14ac:dyDescent="0.25">
      <c r="C50" s="10"/>
      <c r="D50" s="3">
        <f t="shared" si="22"/>
        <v>2.8202322094238577</v>
      </c>
      <c r="E50" s="3">
        <f t="shared" si="23"/>
        <v>101.99298721922695</v>
      </c>
      <c r="F50" s="16"/>
      <c r="H50">
        <v>0</v>
      </c>
      <c r="J50" s="6">
        <f t="shared" si="20"/>
        <v>0</v>
      </c>
      <c r="K50" s="6">
        <f t="shared" si="21"/>
        <v>0</v>
      </c>
      <c r="M50" s="16"/>
    </row>
    <row r="51" spans="1:20" x14ac:dyDescent="0.25">
      <c r="A51" s="8"/>
      <c r="C51" s="10"/>
      <c r="D51" s="3">
        <f t="shared" ref="D51" si="24">J50</f>
        <v>0</v>
      </c>
      <c r="E51" s="3">
        <f t="shared" ref="E51" si="25">K50</f>
        <v>0</v>
      </c>
      <c r="F51" s="16"/>
      <c r="J51" s="6">
        <f t="shared" si="20"/>
        <v>0</v>
      </c>
      <c r="K51" s="6">
        <f t="shared" si="21"/>
        <v>0</v>
      </c>
      <c r="M51" s="16"/>
    </row>
    <row r="52" spans="1:20" x14ac:dyDescent="0.25">
      <c r="A52" s="8" t="str">
        <f>"0EB98894"&amp;UPPER(B52)</f>
        <v>0EB98894P3</v>
      </c>
      <c r="B52" t="s">
        <v>67</v>
      </c>
      <c r="C52" s="10" t="s">
        <v>43</v>
      </c>
      <c r="D52" s="3">
        <f>J95</f>
        <v>2.8200286049705197</v>
      </c>
      <c r="E52" s="3">
        <f>K95</f>
        <v>101.99306391267596</v>
      </c>
      <c r="F52" s="16">
        <v>19</v>
      </c>
      <c r="G52">
        <v>292.64</v>
      </c>
      <c r="H52">
        <v>0</v>
      </c>
      <c r="J52" s="6">
        <f t="shared" si="14"/>
        <v>2.8200944955585761</v>
      </c>
      <c r="K52" s="6">
        <f t="shared" si="15"/>
        <v>101.99290593166367</v>
      </c>
      <c r="M52" s="16" t="s">
        <v>76</v>
      </c>
    </row>
    <row r="53" spans="1:20" x14ac:dyDescent="0.25">
      <c r="C53" s="10"/>
      <c r="D53" s="3">
        <f t="shared" ref="D51:D53" si="26">J52</f>
        <v>2.8200944955585761</v>
      </c>
      <c r="E53" s="3">
        <f t="shared" ref="E51:E53" si="27">K52</f>
        <v>101.99290593166367</v>
      </c>
      <c r="F53" s="16">
        <v>6</v>
      </c>
      <c r="G53">
        <f>G52-90</f>
        <v>202.64</v>
      </c>
      <c r="H53">
        <v>0</v>
      </c>
      <c r="J53" s="6">
        <f t="shared" si="14"/>
        <v>2.8200446068178513</v>
      </c>
      <c r="K53" s="6">
        <f t="shared" si="15"/>
        <v>101.99288512410955</v>
      </c>
      <c r="M53" s="16"/>
    </row>
    <row r="54" spans="1:20" x14ac:dyDescent="0.25">
      <c r="C54" s="10"/>
      <c r="D54" s="3">
        <f t="shared" si="16"/>
        <v>2.8200446068178513</v>
      </c>
      <c r="E54" s="3">
        <f t="shared" si="17"/>
        <v>101.99288512410955</v>
      </c>
      <c r="F54" s="16">
        <v>19</v>
      </c>
      <c r="G54">
        <f t="shared" ref="G54:G55" si="28">G53-90</f>
        <v>112.63999999999999</v>
      </c>
      <c r="H54">
        <v>0</v>
      </c>
      <c r="J54" s="6">
        <f t="shared" ref="J54:J73" si="29">IF(LEN(F54) &gt;0,D54+((COS(RADIANS(G54+H54))*F54)*$Q$1/$S$1),0)</f>
        <v>2.8199787162297949</v>
      </c>
      <c r="K54" s="6">
        <f t="shared" ref="K54:K73" si="30">IF(LEN(F54) &gt;0,E54+((SIN(RADIANS(G54+H54))*F54)*$Q$1/$S$1),0)</f>
        <v>101.99304310512184</v>
      </c>
    </row>
    <row r="55" spans="1:20" x14ac:dyDescent="0.25">
      <c r="A55" s="8"/>
      <c r="B55" s="1"/>
      <c r="C55" s="10"/>
      <c r="D55" s="3">
        <f t="shared" si="16"/>
        <v>2.8199787162297949</v>
      </c>
      <c r="E55" s="3">
        <f t="shared" si="17"/>
        <v>101.99304310512184</v>
      </c>
      <c r="F55" s="16">
        <v>6</v>
      </c>
      <c r="G55">
        <f t="shared" si="28"/>
        <v>22.639999999999986</v>
      </c>
      <c r="H55">
        <v>0</v>
      </c>
      <c r="J55" s="6">
        <f t="shared" si="29"/>
        <v>2.8200286049705197</v>
      </c>
      <c r="K55" s="6">
        <f t="shared" si="30"/>
        <v>101.99306391267596</v>
      </c>
    </row>
    <row r="56" spans="1:20" x14ac:dyDescent="0.25">
      <c r="C56" s="10"/>
      <c r="D56" s="3">
        <f t="shared" si="16"/>
        <v>2.8200286049705197</v>
      </c>
      <c r="E56" s="3">
        <f t="shared" si="17"/>
        <v>101.99306391267596</v>
      </c>
      <c r="F56" s="16"/>
      <c r="J56" s="6">
        <f t="shared" si="29"/>
        <v>0</v>
      </c>
      <c r="K56" s="6">
        <f t="shared" si="30"/>
        <v>0</v>
      </c>
    </row>
    <row r="57" spans="1:20" x14ac:dyDescent="0.25">
      <c r="C57" s="10"/>
      <c r="D57" s="3">
        <f t="shared" ref="D57:D60" si="31">J56</f>
        <v>0</v>
      </c>
      <c r="E57" s="3">
        <f t="shared" ref="E57:E60" si="32">K56</f>
        <v>0</v>
      </c>
      <c r="F57" s="16"/>
      <c r="J57" s="6">
        <f t="shared" si="29"/>
        <v>0</v>
      </c>
      <c r="K57" s="6">
        <f t="shared" si="30"/>
        <v>0</v>
      </c>
    </row>
    <row r="58" spans="1:20" x14ac:dyDescent="0.25">
      <c r="A58" s="8" t="str">
        <f>"0EB98892"&amp;UPPER(B58)</f>
        <v>0EB98892Q1</v>
      </c>
      <c r="B58" t="s">
        <v>77</v>
      </c>
      <c r="C58" s="10" t="s">
        <v>43</v>
      </c>
      <c r="D58" s="3">
        <f>D2-O76</f>
        <v>2.8200204977121461</v>
      </c>
      <c r="E58" s="3">
        <f>E2-P76</f>
        <v>101.99294436013405</v>
      </c>
      <c r="F58" s="16">
        <v>19</v>
      </c>
      <c r="G58">
        <v>169.3</v>
      </c>
      <c r="H58">
        <v>0</v>
      </c>
      <c r="J58" s="6">
        <f t="shared" si="29"/>
        <v>2.8198523027289539</v>
      </c>
      <c r="K58" s="6">
        <f t="shared" si="30"/>
        <v>101.99297614090605</v>
      </c>
      <c r="M58" t="s">
        <v>83</v>
      </c>
    </row>
    <row r="59" spans="1:20" x14ac:dyDescent="0.25">
      <c r="B59" s="1"/>
      <c r="C59" s="10"/>
      <c r="D59" s="3">
        <f t="shared" ref="D59:D73" si="33">J58</f>
        <v>2.8198523027289539</v>
      </c>
      <c r="E59" s="3">
        <f t="shared" ref="E59:E73" si="34">K58</f>
        <v>101.99297614090605</v>
      </c>
      <c r="F59" s="16">
        <v>6</v>
      </c>
      <c r="G59">
        <f>G58+90</f>
        <v>259.3</v>
      </c>
      <c r="H59">
        <v>0</v>
      </c>
      <c r="J59" s="6">
        <f t="shared" si="29"/>
        <v>2.8198422666956899</v>
      </c>
      <c r="K59" s="6">
        <f t="shared" si="30"/>
        <v>101.99292302670084</v>
      </c>
    </row>
    <row r="60" spans="1:20" x14ac:dyDescent="0.25">
      <c r="C60" s="10"/>
      <c r="D60" s="3">
        <f t="shared" si="33"/>
        <v>2.8198422666956899</v>
      </c>
      <c r="E60" s="3">
        <f t="shared" si="34"/>
        <v>101.99292302670084</v>
      </c>
      <c r="F60" s="16">
        <v>19</v>
      </c>
      <c r="G60">
        <f>G59+90</f>
        <v>349.3</v>
      </c>
      <c r="H60">
        <v>0</v>
      </c>
      <c r="J60" s="6">
        <f t="shared" si="29"/>
        <v>2.8200104616788821</v>
      </c>
      <c r="K60" s="6">
        <f t="shared" si="30"/>
        <v>101.99289124592883</v>
      </c>
      <c r="N60" t="s">
        <v>68</v>
      </c>
      <c r="O60">
        <v>3</v>
      </c>
      <c r="P60">
        <v>3</v>
      </c>
      <c r="Q60">
        <f>SQRT((O60*O60)+(P60*P60))</f>
        <v>4.2426406871192848</v>
      </c>
      <c r="R60">
        <f>DEGREES(ACOS(P60/Q60))</f>
        <v>44.999999999999993</v>
      </c>
      <c r="S60">
        <v>169.3</v>
      </c>
      <c r="T60">
        <f>R60+S60</f>
        <v>214.3</v>
      </c>
    </row>
    <row r="61" spans="1:20" x14ac:dyDescent="0.25">
      <c r="C61" s="10"/>
      <c r="D61" s="3">
        <f t="shared" si="33"/>
        <v>2.8200104616788821</v>
      </c>
      <c r="E61" s="3">
        <f t="shared" si="34"/>
        <v>101.99289124592883</v>
      </c>
      <c r="F61" s="16">
        <v>6</v>
      </c>
      <c r="G61">
        <f>G60+90</f>
        <v>439.3</v>
      </c>
      <c r="H61">
        <v>0</v>
      </c>
      <c r="J61" s="6">
        <f t="shared" si="29"/>
        <v>2.8200204977121461</v>
      </c>
      <c r="K61" s="6">
        <f t="shared" si="30"/>
        <v>101.99294436013405</v>
      </c>
      <c r="N61" t="s">
        <v>67</v>
      </c>
      <c r="O61">
        <f>O60</f>
        <v>3</v>
      </c>
      <c r="P61">
        <f>P60+19+6</f>
        <v>28</v>
      </c>
      <c r="Q61">
        <f t="shared" ref="Q61:Q62" si="35">SQRT((O61*O61)+(P61*P61))</f>
        <v>28.160255680657446</v>
      </c>
      <c r="R61">
        <f t="shared" ref="R61:R62" si="36">DEGREES(ACOS(P61/Q61))</f>
        <v>6.1155035662853754</v>
      </c>
      <c r="S61">
        <v>169.3</v>
      </c>
      <c r="T61">
        <f t="shared" ref="T61:T62" si="37">R61+S61</f>
        <v>175.41550356628539</v>
      </c>
    </row>
    <row r="62" spans="1:20" x14ac:dyDescent="0.25">
      <c r="C62" s="10"/>
      <c r="D62" s="3">
        <f t="shared" si="33"/>
        <v>2.8200204977121461</v>
      </c>
      <c r="E62" s="3">
        <f t="shared" si="34"/>
        <v>101.99294436013405</v>
      </c>
      <c r="F62" s="16"/>
      <c r="H62">
        <v>0</v>
      </c>
      <c r="J62" s="6">
        <f t="shared" si="29"/>
        <v>0</v>
      </c>
      <c r="K62" s="6">
        <f t="shared" si="30"/>
        <v>0</v>
      </c>
      <c r="N62" t="s">
        <v>69</v>
      </c>
      <c r="O62">
        <f>O60+13</f>
        <v>16</v>
      </c>
      <c r="P62">
        <f>20+P60</f>
        <v>23</v>
      </c>
      <c r="Q62">
        <f t="shared" si="35"/>
        <v>28.0178514522438</v>
      </c>
      <c r="R62">
        <f t="shared" si="36"/>
        <v>34.824489156956794</v>
      </c>
      <c r="S62">
        <v>169.3</v>
      </c>
      <c r="T62">
        <f t="shared" si="37"/>
        <v>204.1244891569568</v>
      </c>
    </row>
    <row r="63" spans="1:20" x14ac:dyDescent="0.25">
      <c r="C63" s="10"/>
      <c r="D63" s="3">
        <f t="shared" si="33"/>
        <v>0</v>
      </c>
      <c r="E63" s="3">
        <f t="shared" si="34"/>
        <v>0</v>
      </c>
      <c r="F63" s="16"/>
      <c r="J63" s="6">
        <f t="shared" si="29"/>
        <v>0</v>
      </c>
      <c r="K63" s="6">
        <f t="shared" si="30"/>
        <v>0</v>
      </c>
    </row>
    <row r="64" spans="1:20" x14ac:dyDescent="0.25">
      <c r="A64" s="8" t="str">
        <f>"0EB98892"&amp;UPPER(B64)</f>
        <v>0EB98892Q2</v>
      </c>
      <c r="B64" t="s">
        <v>78</v>
      </c>
      <c r="C64" s="10" t="s">
        <v>43</v>
      </c>
      <c r="D64" s="3">
        <f>D2</f>
        <v>2.8202322094238577</v>
      </c>
      <c r="E64" s="3">
        <f>E2</f>
        <v>101.99302544121512</v>
      </c>
      <c r="F64" s="16">
        <v>19</v>
      </c>
      <c r="G64">
        <v>169.3</v>
      </c>
      <c r="H64">
        <v>0</v>
      </c>
      <c r="J64" s="6">
        <f t="shared" si="29"/>
        <v>2.8200640144406655</v>
      </c>
      <c r="K64" s="6">
        <f t="shared" si="30"/>
        <v>101.99305722198713</v>
      </c>
      <c r="M64" t="s">
        <v>79</v>
      </c>
    </row>
    <row r="65" spans="1:16" x14ac:dyDescent="0.25">
      <c r="C65" s="10"/>
      <c r="D65" s="3">
        <f t="shared" ref="D65:D72" si="38">J64</f>
        <v>2.8200640144406655</v>
      </c>
      <c r="E65" s="3">
        <f t="shared" ref="E65:E72" si="39">K64</f>
        <v>101.99305722198713</v>
      </c>
      <c r="F65" s="16">
        <v>6</v>
      </c>
      <c r="G65">
        <f>G64+90</f>
        <v>259.3</v>
      </c>
      <c r="H65">
        <v>0</v>
      </c>
      <c r="J65" s="6">
        <f t="shared" si="29"/>
        <v>2.8200539784074015</v>
      </c>
      <c r="K65" s="6">
        <f t="shared" si="30"/>
        <v>101.99300410778191</v>
      </c>
    </row>
    <row r="66" spans="1:16" x14ac:dyDescent="0.25">
      <c r="B66" s="1"/>
      <c r="C66" s="10"/>
      <c r="D66" s="3">
        <f t="shared" si="38"/>
        <v>2.8200539784074015</v>
      </c>
      <c r="E66" s="3">
        <f t="shared" si="39"/>
        <v>101.99300410778191</v>
      </c>
      <c r="F66" s="16">
        <v>19</v>
      </c>
      <c r="G66">
        <f>G65+90</f>
        <v>349.3</v>
      </c>
      <c r="H66">
        <v>0</v>
      </c>
      <c r="J66" s="6">
        <f t="shared" si="29"/>
        <v>2.8202221733905937</v>
      </c>
      <c r="K66" s="6">
        <f t="shared" si="30"/>
        <v>101.99297232700991</v>
      </c>
      <c r="O66">
        <v>292.64</v>
      </c>
      <c r="P66">
        <v>315</v>
      </c>
    </row>
    <row r="67" spans="1:16" x14ac:dyDescent="0.25">
      <c r="C67" s="10"/>
      <c r="D67" s="3">
        <f t="shared" si="38"/>
        <v>2.8202221733905937</v>
      </c>
      <c r="E67" s="3">
        <f t="shared" si="39"/>
        <v>101.99297232700991</v>
      </c>
      <c r="F67" s="16">
        <v>6</v>
      </c>
      <c r="G67">
        <f>G66+90</f>
        <v>439.3</v>
      </c>
      <c r="H67">
        <v>0</v>
      </c>
      <c r="J67" s="6">
        <f t="shared" si="29"/>
        <v>2.8202322094238577</v>
      </c>
      <c r="K67" s="6">
        <f t="shared" si="30"/>
        <v>101.99302544121512</v>
      </c>
      <c r="O67">
        <f>O66-45</f>
        <v>247.64</v>
      </c>
      <c r="P67">
        <f>P66-O66</f>
        <v>22.360000000000014</v>
      </c>
    </row>
    <row r="68" spans="1:16" x14ac:dyDescent="0.25">
      <c r="C68" s="10"/>
      <c r="D68" s="3">
        <f t="shared" si="38"/>
        <v>2.8202322094238577</v>
      </c>
      <c r="E68" s="3">
        <f t="shared" si="39"/>
        <v>101.99302544121512</v>
      </c>
      <c r="F68" s="16"/>
      <c r="H68">
        <v>0</v>
      </c>
      <c r="J68" s="6">
        <f t="shared" si="29"/>
        <v>0</v>
      </c>
      <c r="K68" s="6">
        <f t="shared" si="30"/>
        <v>0</v>
      </c>
      <c r="O68">
        <f>O66+45</f>
        <v>337.64</v>
      </c>
      <c r="P68">
        <f>P67+90</f>
        <v>112.36000000000001</v>
      </c>
    </row>
    <row r="69" spans="1:16" x14ac:dyDescent="0.25">
      <c r="C69" s="10"/>
      <c r="D69" s="3">
        <f t="shared" ref="D69:D85" si="40">J68</f>
        <v>0</v>
      </c>
      <c r="E69" s="3">
        <f t="shared" ref="E69:E85" si="41">K68</f>
        <v>0</v>
      </c>
      <c r="F69" s="16"/>
      <c r="H69">
        <v>1</v>
      </c>
      <c r="J69" s="6">
        <f t="shared" ref="J69:J85" si="42">IF(LEN(F69) &gt;0,D69+((COS(RADIANS(G69+H69))*F69)*$Q$1/$S$1),0)</f>
        <v>0</v>
      </c>
      <c r="K69" s="6">
        <f t="shared" ref="K69:K85" si="43">IF(LEN(F69) &gt;0,E69+((SIN(RADIANS(G69+H69))*F69)*$Q$1/$S$1),0)</f>
        <v>0</v>
      </c>
      <c r="O69">
        <f>O67+45</f>
        <v>292.64</v>
      </c>
    </row>
    <row r="70" spans="1:16" x14ac:dyDescent="0.25">
      <c r="A70" s="8"/>
      <c r="C70" s="10"/>
      <c r="D70" s="3">
        <f t="shared" si="40"/>
        <v>0</v>
      </c>
      <c r="E70" s="3">
        <f t="shared" si="41"/>
        <v>0</v>
      </c>
      <c r="F70" s="16"/>
      <c r="H70">
        <v>2</v>
      </c>
      <c r="J70" s="6">
        <f t="shared" si="42"/>
        <v>0</v>
      </c>
      <c r="K70" s="6">
        <f t="shared" si="43"/>
        <v>0</v>
      </c>
    </row>
    <row r="71" spans="1:16" x14ac:dyDescent="0.25">
      <c r="C71" s="10"/>
      <c r="D71" s="3">
        <f t="shared" si="40"/>
        <v>0</v>
      </c>
      <c r="E71" s="3">
        <f t="shared" si="41"/>
        <v>0</v>
      </c>
      <c r="F71" s="16"/>
      <c r="H71">
        <v>3</v>
      </c>
      <c r="J71" s="6">
        <f t="shared" si="42"/>
        <v>0</v>
      </c>
      <c r="K71" s="6">
        <f t="shared" si="43"/>
        <v>0</v>
      </c>
    </row>
    <row r="72" spans="1:16" x14ac:dyDescent="0.25">
      <c r="C72" s="10"/>
      <c r="D72" s="3">
        <f t="shared" si="40"/>
        <v>0</v>
      </c>
      <c r="E72" s="3">
        <f t="shared" si="41"/>
        <v>0</v>
      </c>
      <c r="F72" s="16"/>
      <c r="H72">
        <v>4</v>
      </c>
      <c r="J72" s="6">
        <f t="shared" si="42"/>
        <v>0</v>
      </c>
      <c r="K72" s="6">
        <f t="shared" si="43"/>
        <v>0</v>
      </c>
    </row>
    <row r="73" spans="1:16" x14ac:dyDescent="0.25">
      <c r="B73" s="1"/>
      <c r="C73" s="10"/>
      <c r="D73" s="3">
        <f t="shared" si="40"/>
        <v>0</v>
      </c>
      <c r="E73" s="3">
        <f t="shared" si="41"/>
        <v>0</v>
      </c>
      <c r="F73" s="16"/>
      <c r="H73">
        <v>5</v>
      </c>
      <c r="J73" s="6">
        <f t="shared" si="42"/>
        <v>0</v>
      </c>
      <c r="K73" s="6">
        <f t="shared" si="43"/>
        <v>0</v>
      </c>
      <c r="N73" t="s">
        <v>80</v>
      </c>
    </row>
    <row r="74" spans="1:16" x14ac:dyDescent="0.25">
      <c r="B74" s="1"/>
      <c r="C74" s="10"/>
      <c r="D74" s="3">
        <f t="shared" si="40"/>
        <v>0</v>
      </c>
      <c r="E74" s="3">
        <f t="shared" si="41"/>
        <v>0</v>
      </c>
      <c r="F74" s="16"/>
      <c r="H74">
        <v>6</v>
      </c>
      <c r="J74" s="6">
        <f t="shared" si="42"/>
        <v>0</v>
      </c>
      <c r="K74" s="6">
        <f t="shared" si="43"/>
        <v>0</v>
      </c>
      <c r="N74" s="22"/>
    </row>
    <row r="75" spans="1:16" x14ac:dyDescent="0.25">
      <c r="C75" s="10"/>
      <c r="D75" s="3">
        <f t="shared" si="40"/>
        <v>0</v>
      </c>
      <c r="E75" s="3">
        <f t="shared" si="41"/>
        <v>0</v>
      </c>
      <c r="F75" s="16"/>
      <c r="H75">
        <v>7</v>
      </c>
      <c r="J75" s="6">
        <f t="shared" si="42"/>
        <v>0</v>
      </c>
      <c r="K75" s="6">
        <f t="shared" si="43"/>
        <v>0</v>
      </c>
      <c r="M75" t="s">
        <v>81</v>
      </c>
      <c r="N75" t="s">
        <v>82</v>
      </c>
    </row>
    <row r="76" spans="1:16" x14ac:dyDescent="0.25">
      <c r="C76" s="10"/>
      <c r="D76" s="3">
        <f t="shared" si="40"/>
        <v>0</v>
      </c>
      <c r="E76" s="3">
        <f t="shared" si="41"/>
        <v>0</v>
      </c>
      <c r="F76" s="16"/>
      <c r="H76">
        <v>8</v>
      </c>
      <c r="J76" s="6">
        <f t="shared" si="42"/>
        <v>0</v>
      </c>
      <c r="K76" s="6">
        <f t="shared" si="43"/>
        <v>0</v>
      </c>
      <c r="M76">
        <v>23.5</v>
      </c>
      <c r="N76">
        <v>9</v>
      </c>
      <c r="O76" s="18">
        <f>M76*Q1/S1</f>
        <v>2.1171171171171173E-4</v>
      </c>
      <c r="P76" s="18">
        <f>N76*Q1/S1</f>
        <v>8.108108108108109E-5</v>
      </c>
    </row>
    <row r="77" spans="1:16" x14ac:dyDescent="0.25">
      <c r="C77" s="10"/>
      <c r="D77" s="3">
        <f t="shared" si="40"/>
        <v>0</v>
      </c>
      <c r="E77" s="3">
        <f t="shared" si="41"/>
        <v>0</v>
      </c>
      <c r="F77" s="16"/>
      <c r="H77">
        <v>9</v>
      </c>
      <c r="J77" s="6">
        <f t="shared" si="42"/>
        <v>0</v>
      </c>
      <c r="K77" s="6">
        <f t="shared" si="43"/>
        <v>0</v>
      </c>
    </row>
    <row r="78" spans="1:16" x14ac:dyDescent="0.25">
      <c r="A78" s="8"/>
      <c r="C78" s="10"/>
      <c r="D78" s="3">
        <f t="shared" si="40"/>
        <v>0</v>
      </c>
      <c r="E78" s="3">
        <f t="shared" si="41"/>
        <v>0</v>
      </c>
      <c r="F78" s="16"/>
      <c r="H78">
        <v>10</v>
      </c>
      <c r="J78" s="6">
        <f t="shared" si="42"/>
        <v>0</v>
      </c>
      <c r="K78" s="6">
        <f t="shared" si="43"/>
        <v>0</v>
      </c>
    </row>
    <row r="79" spans="1:16" x14ac:dyDescent="0.25">
      <c r="C79" s="10"/>
      <c r="D79" s="3">
        <f t="shared" si="40"/>
        <v>0</v>
      </c>
      <c r="E79" s="3">
        <f t="shared" si="41"/>
        <v>0</v>
      </c>
      <c r="F79" s="16"/>
      <c r="H79">
        <v>11</v>
      </c>
      <c r="J79" s="6">
        <f t="shared" si="42"/>
        <v>0</v>
      </c>
      <c r="K79" s="6">
        <f t="shared" si="43"/>
        <v>0</v>
      </c>
    </row>
    <row r="80" spans="1:16" x14ac:dyDescent="0.25">
      <c r="C80" s="10"/>
      <c r="D80" s="3">
        <f t="shared" si="40"/>
        <v>0</v>
      </c>
      <c r="E80" s="3">
        <f t="shared" si="41"/>
        <v>0</v>
      </c>
      <c r="F80" s="16"/>
      <c r="H80">
        <v>12</v>
      </c>
      <c r="J80" s="6">
        <f t="shared" si="42"/>
        <v>0</v>
      </c>
      <c r="K80" s="6">
        <f t="shared" si="43"/>
        <v>0</v>
      </c>
    </row>
    <row r="81" spans="2:11" x14ac:dyDescent="0.25">
      <c r="B81" s="1"/>
      <c r="C81" s="10"/>
      <c r="D81" s="3">
        <f t="shared" si="40"/>
        <v>0</v>
      </c>
      <c r="E81" s="3">
        <f t="shared" si="41"/>
        <v>0</v>
      </c>
      <c r="F81" s="16"/>
      <c r="H81">
        <v>13</v>
      </c>
      <c r="J81" s="6">
        <f t="shared" si="42"/>
        <v>0</v>
      </c>
      <c r="K81" s="6">
        <f t="shared" si="43"/>
        <v>0</v>
      </c>
    </row>
    <row r="82" spans="2:11" x14ac:dyDescent="0.25">
      <c r="C82" s="10"/>
      <c r="D82" s="3">
        <f t="shared" si="40"/>
        <v>0</v>
      </c>
      <c r="E82" s="3">
        <f t="shared" si="41"/>
        <v>0</v>
      </c>
      <c r="F82" s="16"/>
      <c r="H82">
        <v>14</v>
      </c>
      <c r="J82" s="6">
        <f t="shared" si="42"/>
        <v>0</v>
      </c>
      <c r="K82" s="6">
        <f t="shared" si="43"/>
        <v>0</v>
      </c>
    </row>
    <row r="83" spans="2:11" x14ac:dyDescent="0.25">
      <c r="C83" s="10"/>
      <c r="D83" s="3">
        <f t="shared" si="40"/>
        <v>0</v>
      </c>
      <c r="E83" s="3">
        <f t="shared" si="41"/>
        <v>0</v>
      </c>
      <c r="F83" s="16"/>
      <c r="H83">
        <v>15</v>
      </c>
      <c r="J83" s="6">
        <f t="shared" si="42"/>
        <v>0</v>
      </c>
      <c r="K83" s="6">
        <f t="shared" si="43"/>
        <v>0</v>
      </c>
    </row>
    <row r="84" spans="2:11" x14ac:dyDescent="0.25">
      <c r="C84" s="10"/>
      <c r="D84" s="3">
        <f t="shared" si="40"/>
        <v>0</v>
      </c>
      <c r="E84" s="3">
        <f t="shared" si="41"/>
        <v>0</v>
      </c>
      <c r="F84" s="16"/>
      <c r="H84">
        <v>16</v>
      </c>
      <c r="J84" s="6">
        <f t="shared" si="42"/>
        <v>0</v>
      </c>
      <c r="K84" s="6">
        <f t="shared" si="43"/>
        <v>0</v>
      </c>
    </row>
    <row r="85" spans="2:11" x14ac:dyDescent="0.25">
      <c r="C85" s="10"/>
      <c r="D85" s="3">
        <f t="shared" si="40"/>
        <v>0</v>
      </c>
      <c r="E85" s="3">
        <f t="shared" si="41"/>
        <v>0</v>
      </c>
      <c r="F85" s="16"/>
      <c r="H85">
        <v>17</v>
      </c>
      <c r="J85" s="6">
        <f t="shared" si="42"/>
        <v>0</v>
      </c>
      <c r="K85" s="6">
        <f t="shared" si="43"/>
        <v>0</v>
      </c>
    </row>
    <row r="86" spans="2:11" x14ac:dyDescent="0.25">
      <c r="B86" t="s">
        <v>65</v>
      </c>
      <c r="C86" s="10"/>
      <c r="D86" s="3">
        <f>D28</f>
        <v>2.8198608799117455</v>
      </c>
      <c r="E86" s="3">
        <f>E28</f>
        <v>101.99312773849164</v>
      </c>
      <c r="F86">
        <f>Q86</f>
        <v>0</v>
      </c>
      <c r="G86">
        <v>270</v>
      </c>
      <c r="J86" s="6">
        <f t="shared" ref="J86:J88" si="44">IF(LEN(F86) &gt;0,D86+((COS(RADIANS(G86+H86))*F86)*$Q$1/$S$1),0)</f>
        <v>2.8198608799117455</v>
      </c>
      <c r="K86" s="6">
        <f t="shared" ref="K86:K88" si="45">IF(LEN(F86) &gt;0,E86+((SIN(RADIANS(G86+H86))*F86)*$Q$1/$S$1),0)</f>
        <v>101.99312773849164</v>
      </c>
    </row>
    <row r="87" spans="2:11" x14ac:dyDescent="0.25">
      <c r="B87" t="s">
        <v>64</v>
      </c>
      <c r="C87" s="10"/>
      <c r="D87" s="3">
        <f>D86</f>
        <v>2.8198608799117455</v>
      </c>
      <c r="E87" s="3">
        <f>E86</f>
        <v>101.99312773849164</v>
      </c>
      <c r="F87" s="16">
        <v>23</v>
      </c>
      <c r="G87">
        <v>169.3</v>
      </c>
      <c r="J87" s="6">
        <f t="shared" si="44"/>
        <v>2.8196572754584075</v>
      </c>
      <c r="K87" s="6">
        <f t="shared" si="45"/>
        <v>101.99316620995248</v>
      </c>
    </row>
    <row r="88" spans="2:11" x14ac:dyDescent="0.25">
      <c r="B88" t="s">
        <v>66</v>
      </c>
      <c r="C88" s="10"/>
      <c r="D88" s="3">
        <f>D87</f>
        <v>2.8198608799117455</v>
      </c>
      <c r="E88" s="3">
        <f>E87</f>
        <v>101.99312773849164</v>
      </c>
      <c r="F88">
        <f>Q88</f>
        <v>0</v>
      </c>
      <c r="G88">
        <v>204.61121343963322</v>
      </c>
      <c r="J88" s="6">
        <f t="shared" si="44"/>
        <v>2.8198608799117455</v>
      </c>
      <c r="K88" s="6">
        <f t="shared" si="45"/>
        <v>101.99312773849164</v>
      </c>
    </row>
    <row r="89" spans="2:11" x14ac:dyDescent="0.25">
      <c r="C89" s="10"/>
      <c r="D89" s="3">
        <f t="shared" ref="D89" si="46">J88</f>
        <v>2.8198608799117455</v>
      </c>
      <c r="E89" s="3">
        <f t="shared" ref="E89" si="47">K88</f>
        <v>101.99312773849164</v>
      </c>
    </row>
    <row r="90" spans="2:11" x14ac:dyDescent="0.25">
      <c r="B90" t="s">
        <v>65</v>
      </c>
      <c r="C90" s="10"/>
      <c r="D90" s="3">
        <f>D2</f>
        <v>2.8202322094238577</v>
      </c>
      <c r="E90" s="3">
        <f>E2</f>
        <v>101.99302544121512</v>
      </c>
      <c r="F90">
        <f>Q60</f>
        <v>4.2426406871192848</v>
      </c>
      <c r="G90">
        <v>270</v>
      </c>
      <c r="J90" s="6">
        <f t="shared" ref="J90:J92" si="48">IF(LEN(F90) &gt;0,D90+((COS(RADIANS(G90+H90))*F90)*$Q$1/$S$1),0)</f>
        <v>2.8202322094238577</v>
      </c>
      <c r="K90" s="6">
        <f t="shared" ref="K90:K92" si="49">IF(LEN(F90) &gt;0,E90+((SIN(RADIANS(G90+H90))*F90)*$Q$1/$S$1),0)</f>
        <v>101.99298721922695</v>
      </c>
    </row>
    <row r="91" spans="2:11" x14ac:dyDescent="0.25">
      <c r="B91" t="s">
        <v>64</v>
      </c>
      <c r="C91" s="10"/>
      <c r="D91" s="3">
        <f>D90</f>
        <v>2.8202322094238577</v>
      </c>
      <c r="E91" s="3">
        <f>E90</f>
        <v>101.99302544121512</v>
      </c>
      <c r="F91" s="16">
        <v>23</v>
      </c>
      <c r="G91">
        <v>169.3</v>
      </c>
      <c r="J91" s="6">
        <f t="shared" si="48"/>
        <v>2.8200286049705197</v>
      </c>
      <c r="K91" s="6">
        <f t="shared" si="49"/>
        <v>101.99306391267596</v>
      </c>
    </row>
    <row r="92" spans="2:11" x14ac:dyDescent="0.25">
      <c r="B92" t="s">
        <v>66</v>
      </c>
      <c r="C92" s="10"/>
      <c r="D92" s="3">
        <f t="shared" ref="D92" si="50">D91</f>
        <v>2.8202322094238577</v>
      </c>
      <c r="E92" s="3">
        <f t="shared" ref="E92" si="51">E91</f>
        <v>101.99302544121512</v>
      </c>
      <c r="F92">
        <f>Q62</f>
        <v>28.0178514522438</v>
      </c>
      <c r="G92">
        <v>204.61121343963322</v>
      </c>
      <c r="J92" s="6">
        <f t="shared" si="48"/>
        <v>2.8200027269093488</v>
      </c>
      <c r="K92" s="6">
        <f t="shared" si="49"/>
        <v>101.99292032158544</v>
      </c>
    </row>
    <row r="93" spans="2:11" x14ac:dyDescent="0.25">
      <c r="C93" s="10"/>
      <c r="D93" s="3">
        <f t="shared" ref="D68:D100" si="52">J92</f>
        <v>2.8200027269093488</v>
      </c>
      <c r="E93" s="3">
        <f t="shared" ref="E68:E100" si="53">K92</f>
        <v>101.99292032158544</v>
      </c>
    </row>
    <row r="94" spans="2:11" x14ac:dyDescent="0.25">
      <c r="B94" t="s">
        <v>65</v>
      </c>
      <c r="C94" s="10"/>
      <c r="D94" s="3">
        <f>D2</f>
        <v>2.8202322094238577</v>
      </c>
      <c r="E94" s="3">
        <f>E2</f>
        <v>101.99302544121512</v>
      </c>
      <c r="F94">
        <f>Q60</f>
        <v>4.2426406871192848</v>
      </c>
      <c r="G94">
        <v>270</v>
      </c>
      <c r="J94" s="6">
        <f t="shared" ref="J94:J96" si="54">IF(LEN(F94) &gt;0,D94+((COS(RADIANS(G94+H94))*F94)*$Q$1/$S$1),0)</f>
        <v>2.8202322094238577</v>
      </c>
      <c r="K94" s="6">
        <f t="shared" ref="K94:K96" si="55">IF(LEN(F94) &gt;0,E94+((SIN(RADIANS(G94+H94))*F94)*$Q$1/$S$1),0)</f>
        <v>101.99298721922695</v>
      </c>
    </row>
    <row r="95" spans="2:11" x14ac:dyDescent="0.25">
      <c r="B95" t="s">
        <v>64</v>
      </c>
      <c r="C95" s="10"/>
      <c r="D95" s="3">
        <f>D94</f>
        <v>2.8202322094238577</v>
      </c>
      <c r="E95" s="3">
        <f>E94</f>
        <v>101.99302544121512</v>
      </c>
      <c r="F95" s="16">
        <v>23</v>
      </c>
      <c r="G95">
        <v>169.3</v>
      </c>
      <c r="J95" s="6">
        <f t="shared" si="54"/>
        <v>2.8200286049705197</v>
      </c>
      <c r="K95" s="6">
        <f t="shared" si="55"/>
        <v>101.99306391267596</v>
      </c>
    </row>
    <row r="96" spans="2:11" x14ac:dyDescent="0.25">
      <c r="B96" t="s">
        <v>66</v>
      </c>
      <c r="C96" s="10"/>
      <c r="D96" s="3">
        <f>D95</f>
        <v>2.8202322094238577</v>
      </c>
      <c r="E96" s="3">
        <f>E95</f>
        <v>101.99302544121512</v>
      </c>
      <c r="F96">
        <f>Q62</f>
        <v>28.0178514522438</v>
      </c>
      <c r="G96">
        <v>204.61121343963322</v>
      </c>
      <c r="J96" s="6">
        <f t="shared" si="54"/>
        <v>2.8200027269093488</v>
      </c>
      <c r="K96" s="6">
        <f t="shared" si="55"/>
        <v>101.99292032158544</v>
      </c>
    </row>
    <row r="97" spans="3:5" x14ac:dyDescent="0.25">
      <c r="C97" s="10"/>
      <c r="D97" s="3">
        <f t="shared" ref="D97" si="56">J96</f>
        <v>2.8200027269093488</v>
      </c>
      <c r="E97" s="3">
        <f t="shared" ref="E97" si="57">K96</f>
        <v>101.99292032158544</v>
      </c>
    </row>
    <row r="98" spans="3:5" x14ac:dyDescent="0.25">
      <c r="C98" s="10"/>
      <c r="D98" s="3" t="e">
        <f>#REF!</f>
        <v>#REF!</v>
      </c>
      <c r="E98" s="3" t="e">
        <f>#REF!</f>
        <v>#REF!</v>
      </c>
    </row>
    <row r="99" spans="3:5" x14ac:dyDescent="0.25">
      <c r="C99" s="10"/>
      <c r="D99" s="3">
        <f t="shared" si="52"/>
        <v>0</v>
      </c>
      <c r="E99" s="3">
        <f t="shared" si="53"/>
        <v>0</v>
      </c>
    </row>
    <row r="100" spans="3:5" x14ac:dyDescent="0.25">
      <c r="C100" s="10"/>
      <c r="D100" s="3">
        <f t="shared" si="52"/>
        <v>0</v>
      </c>
      <c r="E100" s="3">
        <f t="shared" si="53"/>
        <v>0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StyleMap!$A$2:$A$20</xm:f>
          </x14:formula1>
          <xm:sqref>C2:C100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0"/>
  <sheetViews>
    <sheetView workbookViewId="0">
      <selection activeCell="E28" sqref="E28"/>
    </sheetView>
  </sheetViews>
  <sheetFormatPr defaultRowHeight="15" x14ac:dyDescent="0.25"/>
  <sheetData>
    <row r="1" spans="1:3" x14ac:dyDescent="0.25">
      <c r="A1" t="s">
        <v>0</v>
      </c>
      <c r="B1" t="s">
        <v>16</v>
      </c>
      <c r="C1" t="s">
        <v>17</v>
      </c>
    </row>
    <row r="2" spans="1:3" x14ac:dyDescent="0.25">
      <c r="A2" s="9" t="s">
        <v>43</v>
      </c>
      <c r="B2" s="10" t="s">
        <v>38</v>
      </c>
      <c r="C2" s="10" t="s">
        <v>35</v>
      </c>
    </row>
    <row r="3" spans="1:3" x14ac:dyDescent="0.25">
      <c r="A3" s="9" t="s">
        <v>44</v>
      </c>
      <c r="B3" s="10" t="s">
        <v>36</v>
      </c>
      <c r="C3" s="10" t="s">
        <v>35</v>
      </c>
    </row>
    <row r="4" spans="1:3" x14ac:dyDescent="0.25">
      <c r="A4" s="9" t="s">
        <v>45</v>
      </c>
      <c r="B4" s="10" t="s">
        <v>37</v>
      </c>
      <c r="C4" s="10" t="s">
        <v>35</v>
      </c>
    </row>
    <row r="5" spans="1:3" x14ac:dyDescent="0.25">
      <c r="A5" s="9" t="s">
        <v>46</v>
      </c>
      <c r="B5" s="10" t="s">
        <v>41</v>
      </c>
      <c r="C5" s="10" t="s">
        <v>40</v>
      </c>
    </row>
    <row r="6" spans="1:3" x14ac:dyDescent="0.25">
      <c r="A6" s="9"/>
      <c r="B6" s="10"/>
      <c r="C6" s="10"/>
    </row>
    <row r="7" spans="1:3" x14ac:dyDescent="0.25">
      <c r="A7" s="9"/>
      <c r="B7" s="10"/>
      <c r="C7" s="10"/>
    </row>
    <row r="8" spans="1:3" x14ac:dyDescent="0.25">
      <c r="A8" s="9"/>
      <c r="B8" s="10"/>
      <c r="C8" s="10"/>
    </row>
    <row r="9" spans="1:3" x14ac:dyDescent="0.25">
      <c r="A9" s="9"/>
      <c r="B9" s="10"/>
      <c r="C9" s="10"/>
    </row>
    <row r="10" spans="1:3" x14ac:dyDescent="0.25">
      <c r="A10" s="9"/>
      <c r="B10" s="10"/>
      <c r="C10" s="10"/>
    </row>
    <row r="11" spans="1:3" x14ac:dyDescent="0.25">
      <c r="A11" s="9"/>
      <c r="B11" s="10"/>
      <c r="C11" s="10"/>
    </row>
    <row r="12" spans="1:3" x14ac:dyDescent="0.25">
      <c r="A12" s="9"/>
      <c r="B12" s="10"/>
      <c r="C12" s="10"/>
    </row>
    <row r="13" spans="1:3" x14ac:dyDescent="0.25">
      <c r="A13" s="9"/>
      <c r="B13" s="10"/>
      <c r="C13" s="10"/>
    </row>
    <row r="14" spans="1:3" x14ac:dyDescent="0.25">
      <c r="A14" s="9"/>
      <c r="B14" s="10"/>
      <c r="C14" s="10"/>
    </row>
    <row r="15" spans="1:3" x14ac:dyDescent="0.25">
      <c r="A15" s="9"/>
      <c r="B15" s="10"/>
      <c r="C15" s="10"/>
    </row>
    <row r="16" spans="1:3" x14ac:dyDescent="0.25">
      <c r="A16" s="9"/>
      <c r="B16" s="10"/>
      <c r="C16" s="10"/>
    </row>
    <row r="17" spans="1:3" x14ac:dyDescent="0.25">
      <c r="A17" s="9"/>
      <c r="B17" s="10"/>
      <c r="C17" s="10"/>
    </row>
    <row r="18" spans="1:3" x14ac:dyDescent="0.25">
      <c r="A18" s="9"/>
      <c r="B18" s="10"/>
      <c r="C18" s="10"/>
    </row>
    <row r="19" spans="1:3" x14ac:dyDescent="0.25">
      <c r="A19" s="9"/>
      <c r="B19" s="10"/>
      <c r="C19" s="10"/>
    </row>
    <row r="20" spans="1:3" x14ac:dyDescent="0.25">
      <c r="A20" s="9"/>
      <c r="B20" s="10"/>
      <c r="C2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CasStyle!$A$2:$A$20</xm:f>
          </x14:formula1>
          <xm:sqref>B2:C20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0"/>
  <sheetViews>
    <sheetView workbookViewId="0">
      <selection activeCell="F20" sqref="F20"/>
    </sheetView>
  </sheetViews>
  <sheetFormatPr defaultRowHeight="15" x14ac:dyDescent="0.25"/>
  <cols>
    <col min="5" max="8" width="9.140625" style="13"/>
  </cols>
  <sheetData>
    <row r="1" spans="1:8" x14ac:dyDescent="0.25">
      <c r="A1" t="s">
        <v>0</v>
      </c>
      <c r="B1" t="s">
        <v>18</v>
      </c>
      <c r="C1" t="s">
        <v>19</v>
      </c>
      <c r="D1" t="s">
        <v>20</v>
      </c>
      <c r="E1" s="13" t="s">
        <v>21</v>
      </c>
      <c r="F1" s="13" t="s">
        <v>22</v>
      </c>
      <c r="G1" s="13" t="s">
        <v>23</v>
      </c>
      <c r="H1" s="13" t="s">
        <v>24</v>
      </c>
    </row>
    <row r="2" spans="1:8" x14ac:dyDescent="0.25">
      <c r="A2" s="11" t="s">
        <v>35</v>
      </c>
      <c r="B2" s="1">
        <v>1.2</v>
      </c>
      <c r="C2" s="1" t="s">
        <v>25</v>
      </c>
      <c r="D2" s="7" t="s">
        <v>26</v>
      </c>
      <c r="E2" s="14" t="s">
        <v>27</v>
      </c>
      <c r="F2" s="14">
        <v>1.5</v>
      </c>
      <c r="G2" s="14" t="s">
        <v>28</v>
      </c>
      <c r="H2" s="14" t="s">
        <v>29</v>
      </c>
    </row>
    <row r="3" spans="1:8" x14ac:dyDescent="0.25">
      <c r="A3" s="11" t="s">
        <v>36</v>
      </c>
      <c r="B3" s="1">
        <v>1.2</v>
      </c>
      <c r="C3" s="1" t="s">
        <v>25</v>
      </c>
      <c r="D3" s="7" t="s">
        <v>26</v>
      </c>
      <c r="E3" s="14" t="s">
        <v>31</v>
      </c>
      <c r="G3" s="14" t="s">
        <v>32</v>
      </c>
      <c r="H3" s="14" t="s">
        <v>29</v>
      </c>
    </row>
    <row r="4" spans="1:8" x14ac:dyDescent="0.25">
      <c r="A4" s="11" t="s">
        <v>37</v>
      </c>
      <c r="B4" s="1">
        <v>1.2</v>
      </c>
      <c r="C4" s="1" t="s">
        <v>25</v>
      </c>
      <c r="D4" s="7" t="s">
        <v>26</v>
      </c>
      <c r="E4" s="1" t="s">
        <v>33</v>
      </c>
      <c r="G4" s="14" t="s">
        <v>28</v>
      </c>
      <c r="H4" s="14" t="s">
        <v>29</v>
      </c>
    </row>
    <row r="5" spans="1:8" x14ac:dyDescent="0.25">
      <c r="A5" s="11" t="s">
        <v>38</v>
      </c>
      <c r="B5" s="1">
        <v>1.2</v>
      </c>
      <c r="C5" s="1" t="s">
        <v>25</v>
      </c>
      <c r="D5" s="7" t="s">
        <v>26</v>
      </c>
      <c r="E5" s="1" t="s">
        <v>27</v>
      </c>
      <c r="G5" s="1" t="s">
        <v>28</v>
      </c>
      <c r="H5" s="14" t="s">
        <v>29</v>
      </c>
    </row>
    <row r="6" spans="1:8" x14ac:dyDescent="0.25">
      <c r="A6" s="11" t="s">
        <v>39</v>
      </c>
      <c r="B6" s="1">
        <v>1.2</v>
      </c>
      <c r="C6" s="1" t="s">
        <v>25</v>
      </c>
      <c r="D6" s="7" t="s">
        <v>26</v>
      </c>
      <c r="E6" s="1" t="s">
        <v>33</v>
      </c>
      <c r="F6" s="14">
        <v>1.5</v>
      </c>
      <c r="G6" s="14" t="s">
        <v>28</v>
      </c>
      <c r="H6" s="14" t="s">
        <v>29</v>
      </c>
    </row>
    <row r="7" spans="1:8" x14ac:dyDescent="0.25">
      <c r="A7" s="11" t="s">
        <v>40</v>
      </c>
      <c r="B7" s="1">
        <v>1.2</v>
      </c>
      <c r="C7" s="1" t="s">
        <v>25</v>
      </c>
      <c r="D7" s="7" t="s">
        <v>26</v>
      </c>
      <c r="E7" s="1" t="s">
        <v>34</v>
      </c>
      <c r="F7" s="14">
        <v>1.5</v>
      </c>
      <c r="G7" s="14" t="s">
        <v>28</v>
      </c>
      <c r="H7" s="14" t="s">
        <v>29</v>
      </c>
    </row>
    <row r="8" spans="1:8" x14ac:dyDescent="0.25">
      <c r="A8" s="11" t="s">
        <v>41</v>
      </c>
      <c r="B8" s="1">
        <v>1.2</v>
      </c>
      <c r="C8" s="1" t="s">
        <v>25</v>
      </c>
      <c r="D8" s="7" t="s">
        <v>26</v>
      </c>
      <c r="E8" s="1" t="s">
        <v>34</v>
      </c>
      <c r="F8" s="14"/>
      <c r="G8" s="14" t="s">
        <v>28</v>
      </c>
      <c r="H8" s="14" t="s">
        <v>29</v>
      </c>
    </row>
    <row r="9" spans="1:8" x14ac:dyDescent="0.25">
      <c r="A9" s="11" t="s">
        <v>42</v>
      </c>
      <c r="B9" s="1">
        <v>1.2</v>
      </c>
      <c r="C9" s="1" t="s">
        <v>25</v>
      </c>
      <c r="D9" s="7" t="s">
        <v>26</v>
      </c>
      <c r="E9" s="1" t="s">
        <v>31</v>
      </c>
      <c r="F9" s="14">
        <v>1.5</v>
      </c>
      <c r="G9" s="14" t="s">
        <v>32</v>
      </c>
      <c r="H9" s="14" t="s">
        <v>29</v>
      </c>
    </row>
    <row r="10" spans="1:8" x14ac:dyDescent="0.25">
      <c r="A10" s="11"/>
      <c r="B10" s="1"/>
      <c r="C10" s="1"/>
      <c r="D10" s="7"/>
      <c r="F10" s="14"/>
      <c r="G10" s="14"/>
      <c r="H10" s="14"/>
    </row>
    <row r="11" spans="1:8" x14ac:dyDescent="0.25">
      <c r="A11" s="11"/>
      <c r="B11" s="1"/>
      <c r="C11" s="1"/>
      <c r="D11" s="7"/>
      <c r="F11" s="14"/>
      <c r="G11" s="14"/>
      <c r="H11" s="14"/>
    </row>
    <row r="12" spans="1:8" x14ac:dyDescent="0.25">
      <c r="A12" s="9"/>
    </row>
    <row r="13" spans="1:8" x14ac:dyDescent="0.25">
      <c r="A13" s="9"/>
    </row>
    <row r="14" spans="1:8" x14ac:dyDescent="0.25">
      <c r="A14" s="9"/>
    </row>
    <row r="15" spans="1:8" x14ac:dyDescent="0.25">
      <c r="A15" s="9"/>
    </row>
    <row r="16" spans="1:8" x14ac:dyDescent="0.25">
      <c r="A16" s="9"/>
    </row>
    <row r="17" spans="1:1" x14ac:dyDescent="0.25">
      <c r="A17" s="9"/>
    </row>
    <row r="18" spans="1:1" x14ac:dyDescent="0.25">
      <c r="A18" s="9"/>
    </row>
    <row r="19" spans="1:1" x14ac:dyDescent="0.25">
      <c r="A19" s="9"/>
    </row>
    <row r="20" spans="1:1" x14ac:dyDescent="0.25">
      <c r="A20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StyleMap</vt:lpstr>
      <vt:lpstr>CasStyle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2024-05-16T08:11:47Z</dcterms:modified>
</cp:coreProperties>
</file>