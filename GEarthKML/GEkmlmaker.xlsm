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7875"/>
  </bookViews>
  <sheets>
    <sheet name="Sheet1" sheetId="1" r:id="rId1"/>
    <sheet name="StyleMap" sheetId="2" r:id="rId2"/>
    <sheet name="CasStyle" sheetId="3" r:id="rId3"/>
  </sheets>
  <calcPr calcId="152511"/>
</workbook>
</file>

<file path=xl/calcChain.xml><?xml version="1.0" encoding="utf-8"?>
<calcChain xmlns="http://schemas.openxmlformats.org/spreadsheetml/2006/main">
  <c r="G24" i="1" l="1"/>
  <c r="G25" i="1" s="1"/>
  <c r="G26" i="1" s="1"/>
  <c r="G17" i="1"/>
  <c r="G18" i="1" s="1"/>
  <c r="G19" i="1" s="1"/>
  <c r="G20" i="1" s="1"/>
  <c r="G10" i="1"/>
  <c r="G11" i="1" s="1"/>
  <c r="G12" i="1" s="1"/>
  <c r="G13" i="1" s="1"/>
  <c r="G4" i="1"/>
  <c r="G5" i="1" s="1"/>
  <c r="G6" i="1" s="1"/>
  <c r="G7" i="1" s="1"/>
  <c r="G8" i="1" s="1"/>
  <c r="G3" i="1"/>
  <c r="J7" i="1"/>
  <c r="K7" i="1"/>
  <c r="K2" i="1"/>
  <c r="J2" i="1"/>
  <c r="D3" i="1" s="1"/>
  <c r="J3" i="1" s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S1" i="1"/>
  <c r="G14" i="1" l="1"/>
  <c r="G15" i="1" s="1"/>
  <c r="G21" i="1" s="1"/>
  <c r="G22" i="1" s="1"/>
  <c r="G27" i="1" s="1"/>
  <c r="G28" i="1" s="1"/>
  <c r="G29" i="1" s="1"/>
  <c r="G30" i="1" s="1"/>
  <c r="G31" i="1" s="1"/>
  <c r="G32" i="1" s="1"/>
  <c r="G33" i="1" s="1"/>
  <c r="G34" i="1" s="1"/>
  <c r="G35" i="1" s="1"/>
  <c r="D4" i="1"/>
  <c r="E3" i="1"/>
  <c r="K3" i="1" s="1"/>
  <c r="J4" i="1" l="1"/>
  <c r="D5" i="1" s="1"/>
  <c r="E4" i="1"/>
  <c r="K4" i="1" s="1"/>
  <c r="E5" i="1" s="1"/>
  <c r="D8" i="1"/>
  <c r="J8" i="1" s="1"/>
  <c r="K5" i="1" l="1"/>
  <c r="E6" i="1" s="1"/>
  <c r="K6" i="1" s="1"/>
  <c r="E7" i="1" s="1"/>
  <c r="J5" i="1"/>
  <c r="D6" i="1" s="1"/>
  <c r="J6" i="1" s="1"/>
  <c r="D7" i="1" s="1"/>
  <c r="E8" i="1"/>
  <c r="K8" i="1" s="1"/>
  <c r="J9" i="1"/>
  <c r="D10" i="1" l="1"/>
  <c r="J10" i="1" s="1"/>
  <c r="K9" i="1"/>
  <c r="E10" i="1" l="1"/>
  <c r="K10" i="1" s="1"/>
  <c r="D11" i="1"/>
  <c r="J11" i="1" s="1"/>
  <c r="D12" i="1" l="1"/>
  <c r="J12" i="1" s="1"/>
  <c r="E11" i="1"/>
  <c r="K11" i="1" s="1"/>
  <c r="E12" i="1" l="1"/>
  <c r="K12" i="1" s="1"/>
  <c r="D13" i="1"/>
  <c r="J13" i="1" s="1"/>
  <c r="D14" i="1" l="1"/>
  <c r="J14" i="1" s="1"/>
  <c r="E13" i="1"/>
  <c r="K13" i="1" s="1"/>
  <c r="E14" i="1" l="1"/>
  <c r="K14" i="1" s="1"/>
  <c r="D15" i="1"/>
  <c r="J15" i="1" s="1"/>
  <c r="J16" i="1" l="1"/>
  <c r="E15" i="1"/>
  <c r="K15" i="1" s="1"/>
  <c r="K16" i="1" l="1"/>
  <c r="D17" i="1"/>
  <c r="J17" i="1" s="1"/>
  <c r="D18" i="1" l="1"/>
  <c r="J18" i="1" s="1"/>
  <c r="E17" i="1"/>
  <c r="K17" i="1" s="1"/>
  <c r="E18" i="1" l="1"/>
  <c r="K18" i="1" s="1"/>
  <c r="D19" i="1"/>
  <c r="J19" i="1" s="1"/>
  <c r="D20" i="1" l="1"/>
  <c r="J20" i="1" s="1"/>
  <c r="E19" i="1"/>
  <c r="K19" i="1" s="1"/>
  <c r="E20" i="1" l="1"/>
  <c r="K20" i="1" s="1"/>
  <c r="D21" i="1"/>
  <c r="J21" i="1" s="1"/>
  <c r="D22" i="1" l="1"/>
  <c r="J22" i="1" s="1"/>
  <c r="E21" i="1"/>
  <c r="K21" i="1" s="1"/>
  <c r="E22" i="1" l="1"/>
  <c r="K22" i="1" s="1"/>
  <c r="J23" i="1"/>
  <c r="D24" i="1" l="1"/>
  <c r="J24" i="1" s="1"/>
  <c r="K23" i="1"/>
  <c r="E24" i="1" l="1"/>
  <c r="K24" i="1" s="1"/>
  <c r="D25" i="1"/>
  <c r="J25" i="1" s="1"/>
  <c r="D26" i="1" l="1"/>
  <c r="J26" i="1" s="1"/>
  <c r="E25" i="1"/>
  <c r="K25" i="1" s="1"/>
  <c r="E26" i="1" l="1"/>
  <c r="K26" i="1" s="1"/>
  <c r="D27" i="1"/>
  <c r="J27" i="1" s="1"/>
  <c r="D28" i="1" l="1"/>
  <c r="J28" i="1" s="1"/>
  <c r="E27" i="1"/>
  <c r="K27" i="1" s="1"/>
  <c r="E28" i="1" l="1"/>
  <c r="K28" i="1" s="1"/>
  <c r="D29" i="1"/>
  <c r="J29" i="1" s="1"/>
  <c r="D30" i="1" l="1"/>
  <c r="J30" i="1" s="1"/>
  <c r="E29" i="1"/>
  <c r="K29" i="1" s="1"/>
  <c r="E30" i="1" l="1"/>
  <c r="K30" i="1" s="1"/>
  <c r="D31" i="1"/>
  <c r="J31" i="1" s="1"/>
  <c r="D32" i="1" l="1"/>
  <c r="J32" i="1" s="1"/>
  <c r="E31" i="1"/>
  <c r="K31" i="1" s="1"/>
  <c r="E32" i="1" l="1"/>
  <c r="K32" i="1" s="1"/>
  <c r="D33" i="1"/>
  <c r="J33" i="1" s="1"/>
  <c r="D34" i="1" l="1"/>
  <c r="J34" i="1" s="1"/>
  <c r="E33" i="1"/>
  <c r="K33" i="1" s="1"/>
  <c r="E34" i="1" l="1"/>
  <c r="K34" i="1" s="1"/>
  <c r="D35" i="1" l="1"/>
  <c r="J35" i="1" l="1"/>
  <c r="D36" i="1" s="1"/>
  <c r="E35" i="1"/>
  <c r="K35" i="1" l="1"/>
  <c r="E36" i="1" s="1"/>
</calcChain>
</file>

<file path=xl/sharedStrings.xml><?xml version="1.0" encoding="utf-8"?>
<sst xmlns="http://schemas.openxmlformats.org/spreadsheetml/2006/main" count="113" uniqueCount="68">
  <si>
    <t>id</t>
  </si>
  <si>
    <t>name</t>
  </si>
  <si>
    <t>style</t>
  </si>
  <si>
    <t>longitude</t>
  </si>
  <si>
    <t>latitude</t>
  </si>
  <si>
    <t>lat2</t>
  </si>
  <si>
    <t>lon2</t>
  </si>
  <si>
    <t>length (m)</t>
  </si>
  <si>
    <t>angle (deg)</t>
  </si>
  <si>
    <t>add angle (deg)</t>
  </si>
  <si>
    <t>deg</t>
  </si>
  <si>
    <t>neg angle</t>
  </si>
  <si>
    <t>clockwise</t>
  </si>
  <si>
    <t>pos angle</t>
  </si>
  <si>
    <t>anticlockwise</t>
  </si>
  <si>
    <t>m</t>
  </si>
  <si>
    <t xml:space="preserve">101.472627767571,2.91676089695153,0 101.472771911715,2.91676089695153,0 101.472896744206,2.91668882487946,0 101.472968816278,2.91656399238882,0 101.472968816278,2.91641984824468,0 101.472896744206,2.91629501575404,0 101.472627767571,2.91676089695153,0 </t>
  </si>
  <si>
    <t>normal</t>
  </si>
  <si>
    <t>highlight</t>
  </si>
  <si>
    <t>is_scale</t>
  </si>
  <si>
    <t>is_href</t>
  </si>
  <si>
    <t>is_hotspot</t>
  </si>
  <si>
    <t>ls_color</t>
  </si>
  <si>
    <t>ls_width</t>
  </si>
  <si>
    <t>ps_color</t>
  </si>
  <si>
    <t>bs_displaymode</t>
  </si>
  <si>
    <r>
      <t>https://earth.google.com/earth/rpc/cc/icon?color=1976d2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id=2000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scale=4</t>
    </r>
  </si>
  <si>
    <r>
      <t>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"64"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"128"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"pixels"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"insetPixels"</t>
    </r>
  </si>
  <si>
    <t>ff6b7900</t>
  </si>
  <si>
    <t>00ffffff</t>
  </si>
  <si>
    <t>hide</t>
  </si>
  <si>
    <r>
      <t>&lt;?</t>
    </r>
    <r>
      <rPr>
        <sz val="11"/>
        <color rgb="FF569CD6"/>
        <rFont val="Consolas"/>
        <family val="3"/>
      </rPr>
      <t>xml</t>
    </r>
    <r>
      <rPr>
        <sz val="11"/>
        <color rgb="FF9CDCFE"/>
        <rFont val="Consolas"/>
        <family val="3"/>
      </rPr>
      <t xml:space="preserve"> version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"1.0"</t>
    </r>
    <r>
      <rPr>
        <sz val="11"/>
        <color rgb="FF9CDCFE"/>
        <rFont val="Consolas"/>
        <family val="3"/>
      </rPr>
      <t xml:space="preserve"> encoding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"UTF-8"</t>
    </r>
    <r>
      <rPr>
        <sz val="11"/>
        <color rgb="FF808080"/>
        <rFont val="Consolas"/>
        <family val="3"/>
      </rPr>
      <t>?&gt;&lt;</t>
    </r>
    <r>
      <rPr>
        <sz val="11"/>
        <color rgb="FF569CD6"/>
        <rFont val="Consolas"/>
        <family val="3"/>
      </rPr>
      <t>kml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xmlns:gx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"http://www.google.com/kml/ext/2.2"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xmlns:kml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xmlns:atom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"http://www.w3.org/2005/Atom"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%name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%body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kml</t>
    </r>
    <r>
      <rPr>
        <sz val="11"/>
        <color rgb="FF808080"/>
        <rFont val="Consolas"/>
        <family val="3"/>
      </rPr>
      <t>&gt;</t>
    </r>
  </si>
  <si>
    <t>ffa21f7b</t>
  </si>
  <si>
    <t>00757575</t>
  </si>
  <si>
    <t>ffd27619</t>
  </si>
  <si>
    <t>ff2dc0fb</t>
  </si>
  <si>
    <t>cs001</t>
  </si>
  <si>
    <t>cs002</t>
  </si>
  <si>
    <t>cs003</t>
  </si>
  <si>
    <t>cs004</t>
  </si>
  <si>
    <t>cs005</t>
  </si>
  <si>
    <t>cs006</t>
  </si>
  <si>
    <t>cs007</t>
  </si>
  <si>
    <t>cs008</t>
  </si>
  <si>
    <t>sm001</t>
  </si>
  <si>
    <t>sm002</t>
  </si>
  <si>
    <t>sm003</t>
  </si>
  <si>
    <t>sm004</t>
  </si>
  <si>
    <t>089BA6137530A49C12A1</t>
  </si>
  <si>
    <t>ATM Perimeter</t>
  </si>
  <si>
    <t>0EB988949C30A49DEFFD</t>
  </si>
  <si>
    <t>Office</t>
  </si>
  <si>
    <t>0ABB926E7D30A49EE78A</t>
  </si>
  <si>
    <t>S4</t>
  </si>
  <si>
    <t>Warehouse</t>
  </si>
  <si>
    <t>032E142B4130A4A0557D</t>
  </si>
  <si>
    <t xml:space="preserve">101.469313243758,2.91750884472798,0 101.469457387902,2.91750884472798,0 101.469582220393,2.91743677265591,0 101.469654292465,2.91731194016527,0 101.469654292465,2.91716779602113,0 101.469582220393,2.91704296353049,0 101.469313243758,2.91750884472798,0 </t>
  </si>
  <si>
    <t xml:space="preserve">101.472614209077,2.91617338386465,0 101.472758353221,2.91617338386465,0 101.472758353221,2.91602923972051,0 101.472614209077,2.91602923972051,0 101.472614209077,2.91617338386465,0 101.472758353221,2.91617338386465,0 101.472614209077,2.91617338386465,0 </t>
  </si>
  <si>
    <t xml:space="preserve">101.470371484074,2.91696697367827,0 101.470515628218,2.91696697367827,0 101.470443556146,2.91684214118763,0 101.470371484074,2.91696697367827,0 101.470515628218,2.91696697367827,0 101.470371484074,2.91696697367827,0 </t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</si>
  <si>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gx:CascadingStyle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kml:id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hotSpot</t>
    </r>
    <r>
      <rPr>
        <sz val="11"/>
        <color rgb="FFCCCCCC"/>
        <rFont val="Consolas"/>
        <family val="3"/>
      </rPr>
      <t xml:space="preserve"> %4</t>
    </r>
    <r>
      <rPr>
        <sz val="11"/>
        <color rgb="FF808080"/>
        <rFont val="Consolas"/>
        <family val="3"/>
      </rPr>
      <t>/&gt;&lt;/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%5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%6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%7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%8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gx:CascadingStyle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</si>
  <si>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StyleMap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normal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highlight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StyleMap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</si>
  <si>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Placemark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#%3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%4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Placemark</t>
    </r>
    <r>
      <rPr>
        <sz val="11"/>
        <color rgb="FF808080"/>
        <rFont val="Consolas"/>
        <family val="3"/>
      </rPr>
      <t>&gt;</t>
    </r>
  </si>
  <si>
    <t>title</t>
  </si>
  <si>
    <t>filename</t>
  </si>
  <si>
    <t>path</t>
  </si>
  <si>
    <t>C:\Users\153582\Documents\GitHub\base\GEarthKML\</t>
  </si>
  <si>
    <t>tATM.kml</t>
  </si>
  <si>
    <t>AmkorTM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</si>
</sst>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80" formatCode="0.00000000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CCCCC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808080"/>
      <name val="Consolas"/>
      <family val="3"/>
    </font>
    <font>
      <sz val="11"/>
      <color rgb="FFFF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16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180" fontId="0" fillId="0" borderId="0" xfId="0" applyNumberFormat="1" applyAlignment="1">
      <alignment horizontal="left"/>
    </xf>
    <xf numFmtId="43" fontId="0" fillId="0" borderId="0" xfId="1" applyFont="1"/>
    <xf numFmtId="0" fontId="3" fillId="3" borderId="0" xfId="3" applyAlignment="1">
      <alignment horizontal="left"/>
    </xf>
    <xf numFmtId="180" fontId="3" fillId="3" borderId="0" xfId="3" applyNumberForma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2" borderId="0" xfId="2"/>
    <xf numFmtId="0" fontId="4" fillId="4" borderId="1" xfId="4"/>
    <xf numFmtId="0" fontId="2" fillId="2" borderId="0" xfId="2" applyAlignment="1">
      <alignment vertical="center"/>
    </xf>
    <xf numFmtId="0" fontId="9" fillId="0" borderId="0" xfId="0" applyFon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</cellXfs>
  <cellStyles count="5">
    <cellStyle name="Comma" xfId="1" builtinId="3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171450</xdr:colOff>
      <xdr:row>6</xdr:row>
      <xdr:rowOff>47626</xdr:rowOff>
    </xdr:from>
    <xdr:to>
      <xdr:col>18</xdr:col>
      <xdr:colOff>447675</xdr:colOff>
      <xdr:row>7</xdr:row>
      <xdr:rowOff>180976</xdr:rowOff>
    </xdr:to>
    <xdr:sp macro="[0]!Macro1" textlink="">
      <xdr:nvSpPr>
        <xdr:cNvPr id="2" name="Rounded Rectangle 1"/>
        <xdr:cNvSpPr/>
      </xdr:nvSpPr>
      <xdr:spPr>
        <a:xfrm>
          <a:off x="14030325" y="1190626"/>
          <a:ext cx="1495425" cy="3238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Make</a:t>
          </a:r>
          <a:r>
            <a:rPr lang="en-US" sz="1100" baseline="0"/>
            <a:t> KML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0"/>
  <sheetViews>
    <sheetView tabSelected="1" workbookViewId="0">
      <selection activeCell="A23" sqref="A23"/>
    </sheetView>
  </sheetViews>
  <sheetFormatPr defaultRowHeight="15" x14ac:dyDescent="0.25"/>
  <cols>
    <col min="1" max="1" width="24.28515625" bestFit="1" customWidth="1"/>
    <col min="2" max="2" width="16" bestFit="1" customWidth="1"/>
    <col min="4" max="5" width="18.5703125" style="3" customWidth="1"/>
    <col min="6" max="7" width="18.5703125" customWidth="1"/>
    <col min="8" max="8" width="14.140625" customWidth="1"/>
    <col min="10" max="11" width="18.5703125" style="6" customWidth="1"/>
    <col min="19" max="19" width="11.5703125" bestFit="1" customWidth="1"/>
  </cols>
  <sheetData>
    <row r="1" spans="1:20" x14ac:dyDescent="0.25">
      <c r="A1" t="s">
        <v>0</v>
      </c>
      <c r="B1" t="s">
        <v>1</v>
      </c>
      <c r="C1" t="s">
        <v>2</v>
      </c>
      <c r="D1" s="2" t="s">
        <v>4</v>
      </c>
      <c r="E1" s="2" t="s">
        <v>3</v>
      </c>
      <c r="F1" t="s">
        <v>7</v>
      </c>
      <c r="G1" t="s">
        <v>8</v>
      </c>
      <c r="H1" t="s">
        <v>9</v>
      </c>
      <c r="J1" s="5" t="s">
        <v>5</v>
      </c>
      <c r="K1" s="5" t="s">
        <v>6</v>
      </c>
      <c r="Q1">
        <v>1E-4</v>
      </c>
      <c r="R1" t="s">
        <v>10</v>
      </c>
      <c r="S1" s="4">
        <f>11.1</f>
        <v>11.1</v>
      </c>
      <c r="T1" t="s">
        <v>15</v>
      </c>
    </row>
    <row r="2" spans="1:20" x14ac:dyDescent="0.25">
      <c r="A2" s="8" t="s">
        <v>48</v>
      </c>
      <c r="B2" s="1" t="s">
        <v>49</v>
      </c>
      <c r="C2" s="10" t="s">
        <v>47</v>
      </c>
      <c r="D2" s="1">
        <v>2.9175088447279802</v>
      </c>
      <c r="E2" s="1">
        <v>101.46931324375799</v>
      </c>
      <c r="F2">
        <v>16</v>
      </c>
      <c r="G2">
        <v>90</v>
      </c>
      <c r="H2">
        <v>0</v>
      </c>
      <c r="J2" s="6">
        <f>IF(LEN(F2) &gt;0,D2+((COS(RADIANS(G2+H2))*F2)*$Q$1/$S$1),0)</f>
        <v>2.9175088447279802</v>
      </c>
      <c r="K2" s="6">
        <f>IF(LEN(F2) &gt;0,E2+((SIN(RADIANS(G2+H2))*F2)*$Q$1/$S$1),0)</f>
        <v>101.46945738790214</v>
      </c>
      <c r="M2" t="s">
        <v>56</v>
      </c>
    </row>
    <row r="3" spans="1:20" x14ac:dyDescent="0.25">
      <c r="A3" s="8"/>
      <c r="B3" s="1"/>
      <c r="C3" s="10"/>
      <c r="D3" s="3">
        <f>J2</f>
        <v>2.9175088447279802</v>
      </c>
      <c r="E3" s="3">
        <f>K2</f>
        <v>101.46945738790214</v>
      </c>
      <c r="F3">
        <v>16</v>
      </c>
      <c r="G3">
        <f>MOD(G2+H2,360)</f>
        <v>90</v>
      </c>
      <c r="H3">
        <v>30</v>
      </c>
      <c r="J3" s="6">
        <f t="shared" ref="J3:J35" si="0">IF(LEN(F3) &gt;0,D3+((COS(RADIANS(G3+H3))*F3)*$Q$1/$S$1),0)</f>
        <v>2.9174367726559081</v>
      </c>
      <c r="K3" s="6">
        <f t="shared" ref="K3:K35" si="1">IF(LEN(F3) &gt;0,E3+((SIN(RADIANS(G3+H3))*F3)*$Q$1/$S$1),0)</f>
        <v>101.46958222039278</v>
      </c>
      <c r="Q3" t="s">
        <v>11</v>
      </c>
      <c r="R3" t="s">
        <v>12</v>
      </c>
    </row>
    <row r="4" spans="1:20" x14ac:dyDescent="0.25">
      <c r="C4" s="10"/>
      <c r="D4" s="3">
        <f t="shared" ref="D4:D67" si="2">J3</f>
        <v>2.9174367726559081</v>
      </c>
      <c r="E4" s="3">
        <f t="shared" ref="E4:E67" si="3">K3</f>
        <v>101.46958222039278</v>
      </c>
      <c r="F4">
        <v>16</v>
      </c>
      <c r="G4">
        <f t="shared" ref="G4:G35" si="4">MOD(G3+H3,360)</f>
        <v>120</v>
      </c>
      <c r="H4">
        <v>30</v>
      </c>
      <c r="J4" s="6">
        <f t="shared" si="0"/>
        <v>2.9173119401652725</v>
      </c>
      <c r="K4" s="6">
        <f t="shared" si="1"/>
        <v>101.46965429246485</v>
      </c>
      <c r="Q4" t="s">
        <v>13</v>
      </c>
      <c r="R4" t="s">
        <v>14</v>
      </c>
    </row>
    <row r="5" spans="1:20" x14ac:dyDescent="0.25">
      <c r="C5" s="10"/>
      <c r="D5" s="3">
        <f t="shared" si="2"/>
        <v>2.9173119401652725</v>
      </c>
      <c r="E5" s="3">
        <f t="shared" si="3"/>
        <v>101.46965429246485</v>
      </c>
      <c r="F5">
        <v>16</v>
      </c>
      <c r="G5">
        <f t="shared" si="4"/>
        <v>150</v>
      </c>
      <c r="H5">
        <v>30</v>
      </c>
      <c r="J5" s="6">
        <f t="shared" si="0"/>
        <v>2.9171677960211282</v>
      </c>
      <c r="K5" s="6">
        <f t="shared" si="1"/>
        <v>101.46965429246485</v>
      </c>
    </row>
    <row r="6" spans="1:20" x14ac:dyDescent="0.25">
      <c r="C6" s="10"/>
      <c r="D6" s="3">
        <f t="shared" si="2"/>
        <v>2.9171677960211282</v>
      </c>
      <c r="E6" s="3">
        <f t="shared" si="3"/>
        <v>101.46965429246485</v>
      </c>
      <c r="F6">
        <v>16</v>
      </c>
      <c r="G6">
        <f t="shared" si="4"/>
        <v>180</v>
      </c>
      <c r="H6">
        <v>30</v>
      </c>
      <c r="J6" s="6">
        <f t="shared" si="0"/>
        <v>2.9170429635304926</v>
      </c>
      <c r="K6" s="6">
        <f t="shared" si="1"/>
        <v>101.46958222039278</v>
      </c>
    </row>
    <row r="7" spans="1:20" x14ac:dyDescent="0.25">
      <c r="C7" s="10"/>
      <c r="D7" s="3">
        <f t="shared" si="2"/>
        <v>2.9170429635304926</v>
      </c>
      <c r="E7" s="3">
        <f t="shared" si="3"/>
        <v>101.46958222039278</v>
      </c>
      <c r="G7">
        <f t="shared" si="4"/>
        <v>210</v>
      </c>
      <c r="H7">
        <v>120</v>
      </c>
      <c r="J7" s="6">
        <f t="shared" si="0"/>
        <v>0</v>
      </c>
      <c r="K7" s="6">
        <f t="shared" si="1"/>
        <v>0</v>
      </c>
    </row>
    <row r="8" spans="1:20" x14ac:dyDescent="0.25">
      <c r="C8" s="10"/>
      <c r="D8" s="3">
        <f t="shared" si="2"/>
        <v>0</v>
      </c>
      <c r="E8" s="3">
        <f t="shared" si="3"/>
        <v>0</v>
      </c>
      <c r="G8">
        <f t="shared" si="4"/>
        <v>330</v>
      </c>
      <c r="H8">
        <v>120</v>
      </c>
      <c r="J8" s="6">
        <f t="shared" si="0"/>
        <v>0</v>
      </c>
      <c r="K8" s="6">
        <f t="shared" si="1"/>
        <v>0</v>
      </c>
    </row>
    <row r="9" spans="1:20" x14ac:dyDescent="0.25">
      <c r="A9" s="8" t="s">
        <v>50</v>
      </c>
      <c r="B9" s="1" t="s">
        <v>51</v>
      </c>
      <c r="C9" s="10" t="s">
        <v>46</v>
      </c>
      <c r="D9" s="1">
        <v>2.91676089695153</v>
      </c>
      <c r="E9" s="1">
        <v>101.472627767571</v>
      </c>
      <c r="F9">
        <v>16</v>
      </c>
      <c r="G9">
        <v>90</v>
      </c>
      <c r="H9">
        <v>0</v>
      </c>
      <c r="J9" s="6">
        <f t="shared" si="0"/>
        <v>2.91676089695153</v>
      </c>
      <c r="K9" s="6">
        <f t="shared" si="1"/>
        <v>101.47277191171514</v>
      </c>
      <c r="M9" t="s">
        <v>16</v>
      </c>
    </row>
    <row r="10" spans="1:20" x14ac:dyDescent="0.25">
      <c r="C10" s="10"/>
      <c r="D10" s="3">
        <f t="shared" si="2"/>
        <v>2.91676089695153</v>
      </c>
      <c r="E10" s="3">
        <f t="shared" si="3"/>
        <v>101.47277191171514</v>
      </c>
      <c r="F10">
        <v>16</v>
      </c>
      <c r="G10">
        <f>MOD(G9+H9,360)</f>
        <v>90</v>
      </c>
      <c r="H10">
        <v>30</v>
      </c>
      <c r="J10" s="6">
        <f t="shared" si="0"/>
        <v>2.9166888248794578</v>
      </c>
      <c r="K10" s="6">
        <f t="shared" si="1"/>
        <v>101.47289674420578</v>
      </c>
    </row>
    <row r="11" spans="1:20" x14ac:dyDescent="0.25">
      <c r="C11" s="10"/>
      <c r="D11" s="3">
        <f t="shared" si="2"/>
        <v>2.9166888248794578</v>
      </c>
      <c r="E11" s="3">
        <f t="shared" si="3"/>
        <v>101.47289674420578</v>
      </c>
      <c r="F11">
        <v>16</v>
      </c>
      <c r="G11">
        <f t="shared" ref="G11:G13" si="5">MOD(G10+H10,360)</f>
        <v>120</v>
      </c>
      <c r="H11">
        <v>30</v>
      </c>
      <c r="J11" s="6">
        <f t="shared" si="0"/>
        <v>2.9165639923888222</v>
      </c>
      <c r="K11" s="6">
        <f t="shared" si="1"/>
        <v>101.47296881627786</v>
      </c>
      <c r="O11" s="1" t="s">
        <v>59</v>
      </c>
    </row>
    <row r="12" spans="1:20" x14ac:dyDescent="0.25">
      <c r="C12" s="10"/>
      <c r="D12" s="3">
        <f t="shared" si="2"/>
        <v>2.9165639923888222</v>
      </c>
      <c r="E12" s="3">
        <f t="shared" si="3"/>
        <v>101.47296881627786</v>
      </c>
      <c r="F12">
        <v>16</v>
      </c>
      <c r="G12">
        <f t="shared" si="5"/>
        <v>150</v>
      </c>
      <c r="H12">
        <v>30</v>
      </c>
      <c r="J12" s="6">
        <f t="shared" si="0"/>
        <v>2.9164198482446779</v>
      </c>
      <c r="K12" s="6">
        <f t="shared" si="1"/>
        <v>101.47296881627786</v>
      </c>
      <c r="O12" s="1" t="s">
        <v>60</v>
      </c>
    </row>
    <row r="13" spans="1:20" x14ac:dyDescent="0.25">
      <c r="C13" s="10"/>
      <c r="D13" s="3">
        <f t="shared" si="2"/>
        <v>2.9164198482446779</v>
      </c>
      <c r="E13" s="3">
        <f t="shared" si="3"/>
        <v>101.47296881627786</v>
      </c>
      <c r="F13">
        <v>16</v>
      </c>
      <c r="G13">
        <f t="shared" si="5"/>
        <v>180</v>
      </c>
      <c r="H13">
        <v>30</v>
      </c>
      <c r="J13" s="6">
        <f t="shared" si="0"/>
        <v>2.9162950157540424</v>
      </c>
      <c r="K13" s="6">
        <f t="shared" si="1"/>
        <v>101.47289674420578</v>
      </c>
      <c r="O13" s="1" t="s">
        <v>61</v>
      </c>
    </row>
    <row r="14" spans="1:20" x14ac:dyDescent="0.25">
      <c r="C14" s="10"/>
      <c r="D14" s="3">
        <f t="shared" si="2"/>
        <v>2.9162950157540424</v>
      </c>
      <c r="E14" s="3">
        <f t="shared" si="3"/>
        <v>101.47289674420578</v>
      </c>
      <c r="G14">
        <f t="shared" si="4"/>
        <v>210</v>
      </c>
      <c r="H14">
        <v>120</v>
      </c>
      <c r="J14" s="6">
        <f t="shared" si="0"/>
        <v>0</v>
      </c>
      <c r="K14" s="6">
        <f t="shared" si="1"/>
        <v>0</v>
      </c>
      <c r="O14" s="12" t="s">
        <v>31</v>
      </c>
    </row>
    <row r="15" spans="1:20" x14ac:dyDescent="0.25">
      <c r="C15" s="10"/>
      <c r="D15" s="3">
        <f t="shared" si="2"/>
        <v>0</v>
      </c>
      <c r="E15" s="3">
        <f t="shared" si="3"/>
        <v>0</v>
      </c>
      <c r="G15">
        <f t="shared" si="4"/>
        <v>330</v>
      </c>
      <c r="H15">
        <v>120</v>
      </c>
      <c r="J15" s="6">
        <f t="shared" si="0"/>
        <v>0</v>
      </c>
      <c r="K15" s="6">
        <f t="shared" si="1"/>
        <v>0</v>
      </c>
    </row>
    <row r="16" spans="1:20" x14ac:dyDescent="0.25">
      <c r="A16" s="8" t="s">
        <v>52</v>
      </c>
      <c r="B16" s="1" t="s">
        <v>53</v>
      </c>
      <c r="C16" s="10" t="s">
        <v>45</v>
      </c>
      <c r="D16" s="1">
        <v>2.91617338386465</v>
      </c>
      <c r="E16" s="1">
        <v>101.47261420907699</v>
      </c>
      <c r="F16">
        <v>16</v>
      </c>
      <c r="G16">
        <v>90</v>
      </c>
      <c r="H16">
        <v>0</v>
      </c>
      <c r="J16" s="6">
        <f t="shared" si="0"/>
        <v>2.91617338386465</v>
      </c>
      <c r="K16" s="6">
        <f t="shared" si="1"/>
        <v>101.47275835322114</v>
      </c>
      <c r="M16" t="s">
        <v>57</v>
      </c>
      <c r="O16" s="15" t="s">
        <v>62</v>
      </c>
      <c r="P16" s="9" t="s">
        <v>67</v>
      </c>
    </row>
    <row r="17" spans="1:16" x14ac:dyDescent="0.25">
      <c r="C17" s="10"/>
      <c r="D17" s="3">
        <f t="shared" si="2"/>
        <v>2.91617338386465</v>
      </c>
      <c r="E17" s="3">
        <f t="shared" si="3"/>
        <v>101.47275835322114</v>
      </c>
      <c r="F17">
        <v>16</v>
      </c>
      <c r="G17">
        <f>MOD(G16+H16,360)</f>
        <v>90</v>
      </c>
      <c r="H17">
        <v>90</v>
      </c>
      <c r="J17" s="6">
        <f t="shared" si="0"/>
        <v>2.9160292397205057</v>
      </c>
      <c r="K17" s="6">
        <f t="shared" si="1"/>
        <v>101.47275835322114</v>
      </c>
      <c r="O17" s="15" t="s">
        <v>63</v>
      </c>
      <c r="P17" s="9" t="s">
        <v>66</v>
      </c>
    </row>
    <row r="18" spans="1:16" x14ac:dyDescent="0.25">
      <c r="C18" s="10"/>
      <c r="D18" s="3">
        <f t="shared" si="2"/>
        <v>2.9160292397205057</v>
      </c>
      <c r="E18" s="3">
        <f t="shared" si="3"/>
        <v>101.47275835322114</v>
      </c>
      <c r="F18">
        <v>16</v>
      </c>
      <c r="G18">
        <f t="shared" ref="G18:G20" si="6">MOD(G17+H17,360)</f>
        <v>180</v>
      </c>
      <c r="H18">
        <v>90</v>
      </c>
      <c r="J18" s="6">
        <f t="shared" si="0"/>
        <v>2.9160292397205057</v>
      </c>
      <c r="K18" s="6">
        <f t="shared" si="1"/>
        <v>101.47261420907699</v>
      </c>
      <c r="O18" s="15" t="s">
        <v>64</v>
      </c>
      <c r="P18" s="9" t="s">
        <v>65</v>
      </c>
    </row>
    <row r="19" spans="1:16" x14ac:dyDescent="0.25">
      <c r="C19" s="10"/>
      <c r="D19" s="3">
        <f t="shared" si="2"/>
        <v>2.9160292397205057</v>
      </c>
      <c r="E19" s="3">
        <f t="shared" si="3"/>
        <v>101.47261420907699</v>
      </c>
      <c r="F19">
        <v>16</v>
      </c>
      <c r="G19">
        <f t="shared" si="6"/>
        <v>270</v>
      </c>
      <c r="H19">
        <v>90</v>
      </c>
      <c r="J19" s="6">
        <f t="shared" si="0"/>
        <v>2.91617338386465</v>
      </c>
      <c r="K19" s="6">
        <f t="shared" si="1"/>
        <v>101.47261420907699</v>
      </c>
    </row>
    <row r="20" spans="1:16" x14ac:dyDescent="0.25">
      <c r="C20" s="10"/>
      <c r="D20" s="3">
        <f t="shared" si="2"/>
        <v>2.91617338386465</v>
      </c>
      <c r="E20" s="3">
        <f t="shared" si="3"/>
        <v>101.47261420907699</v>
      </c>
      <c r="F20">
        <v>16</v>
      </c>
      <c r="G20">
        <f t="shared" si="6"/>
        <v>0</v>
      </c>
      <c r="H20">
        <v>90</v>
      </c>
      <c r="J20" s="6">
        <f t="shared" si="0"/>
        <v>2.91617338386465</v>
      </c>
      <c r="K20" s="6">
        <f t="shared" si="1"/>
        <v>101.47275835322114</v>
      </c>
    </row>
    <row r="21" spans="1:16" x14ac:dyDescent="0.25">
      <c r="C21" s="10"/>
      <c r="D21" s="3">
        <f t="shared" si="2"/>
        <v>2.91617338386465</v>
      </c>
      <c r="E21" s="3">
        <f t="shared" si="3"/>
        <v>101.47275835322114</v>
      </c>
      <c r="G21">
        <f t="shared" si="4"/>
        <v>90</v>
      </c>
      <c r="H21">
        <v>120</v>
      </c>
      <c r="J21" s="6">
        <f t="shared" si="0"/>
        <v>0</v>
      </c>
      <c r="K21" s="6">
        <f t="shared" si="1"/>
        <v>0</v>
      </c>
    </row>
    <row r="22" spans="1:16" x14ac:dyDescent="0.25">
      <c r="C22" s="10"/>
      <c r="D22" s="3">
        <f t="shared" si="2"/>
        <v>0</v>
      </c>
      <c r="E22" s="3">
        <f t="shared" si="3"/>
        <v>0</v>
      </c>
      <c r="G22">
        <f t="shared" si="4"/>
        <v>210</v>
      </c>
      <c r="H22">
        <v>120</v>
      </c>
      <c r="J22" s="6">
        <f t="shared" si="0"/>
        <v>0</v>
      </c>
      <c r="K22" s="6">
        <f t="shared" si="1"/>
        <v>0</v>
      </c>
    </row>
    <row r="23" spans="1:16" x14ac:dyDescent="0.25">
      <c r="A23" s="8" t="s">
        <v>55</v>
      </c>
      <c r="B23" s="1" t="s">
        <v>54</v>
      </c>
      <c r="C23" s="10" t="s">
        <v>44</v>
      </c>
      <c r="D23" s="1">
        <v>2.91696697367827</v>
      </c>
      <c r="E23" s="1">
        <v>101.47037148407399</v>
      </c>
      <c r="F23">
        <v>16</v>
      </c>
      <c r="G23">
        <v>90</v>
      </c>
      <c r="H23">
        <v>0</v>
      </c>
      <c r="J23" s="6">
        <f t="shared" si="0"/>
        <v>2.91696697367827</v>
      </c>
      <c r="K23" s="6">
        <f t="shared" si="1"/>
        <v>101.47051562821814</v>
      </c>
      <c r="M23" t="s">
        <v>58</v>
      </c>
    </row>
    <row r="24" spans="1:16" x14ac:dyDescent="0.25">
      <c r="C24" s="10"/>
      <c r="D24" s="3">
        <f t="shared" si="2"/>
        <v>2.91696697367827</v>
      </c>
      <c r="E24" s="3">
        <f t="shared" si="3"/>
        <v>101.47051562821814</v>
      </c>
      <c r="F24">
        <v>16</v>
      </c>
      <c r="G24">
        <f>MOD(G23+H23,360)</f>
        <v>90</v>
      </c>
      <c r="H24">
        <v>120</v>
      </c>
      <c r="J24" s="6">
        <f t="shared" si="0"/>
        <v>2.9168421411876344</v>
      </c>
      <c r="K24" s="6">
        <f t="shared" si="1"/>
        <v>101.47044355614607</v>
      </c>
    </row>
    <row r="25" spans="1:16" x14ac:dyDescent="0.25">
      <c r="C25" s="10"/>
      <c r="D25" s="3">
        <f t="shared" si="2"/>
        <v>2.9168421411876344</v>
      </c>
      <c r="E25" s="3">
        <f t="shared" si="3"/>
        <v>101.47044355614607</v>
      </c>
      <c r="F25">
        <v>16</v>
      </c>
      <c r="G25">
        <f t="shared" ref="G25:G26" si="7">MOD(G24+H24,360)</f>
        <v>210</v>
      </c>
      <c r="H25">
        <v>120</v>
      </c>
      <c r="J25" s="6">
        <f t="shared" si="0"/>
        <v>2.91696697367827</v>
      </c>
      <c r="K25" s="6">
        <f t="shared" si="1"/>
        <v>101.47037148407399</v>
      </c>
    </row>
    <row r="26" spans="1:16" x14ac:dyDescent="0.25">
      <c r="C26" s="10"/>
      <c r="D26" s="3">
        <f t="shared" si="2"/>
        <v>2.91696697367827</v>
      </c>
      <c r="E26" s="3">
        <f t="shared" si="3"/>
        <v>101.47037148407399</v>
      </c>
      <c r="F26">
        <v>16</v>
      </c>
      <c r="G26">
        <f t="shared" si="7"/>
        <v>330</v>
      </c>
      <c r="H26">
        <v>120</v>
      </c>
      <c r="J26" s="6">
        <f t="shared" si="0"/>
        <v>2.91696697367827</v>
      </c>
      <c r="K26" s="6">
        <f t="shared" si="1"/>
        <v>101.47051562821814</v>
      </c>
    </row>
    <row r="27" spans="1:16" x14ac:dyDescent="0.25">
      <c r="C27" s="10"/>
      <c r="D27" s="3">
        <f t="shared" si="2"/>
        <v>2.91696697367827</v>
      </c>
      <c r="E27" s="3">
        <f t="shared" si="3"/>
        <v>101.47051562821814</v>
      </c>
      <c r="G27">
        <f t="shared" si="4"/>
        <v>90</v>
      </c>
      <c r="H27">
        <v>120</v>
      </c>
      <c r="J27" s="6">
        <f t="shared" si="0"/>
        <v>0</v>
      </c>
      <c r="K27" s="6">
        <f t="shared" si="1"/>
        <v>0</v>
      </c>
    </row>
    <row r="28" spans="1:16" x14ac:dyDescent="0.25">
      <c r="C28" s="10"/>
      <c r="D28" s="3">
        <f t="shared" si="2"/>
        <v>0</v>
      </c>
      <c r="E28" s="3">
        <f t="shared" si="3"/>
        <v>0</v>
      </c>
      <c r="G28">
        <f t="shared" si="4"/>
        <v>210</v>
      </c>
      <c r="H28">
        <v>120</v>
      </c>
      <c r="J28" s="6">
        <f t="shared" si="0"/>
        <v>0</v>
      </c>
      <c r="K28" s="6">
        <f t="shared" si="1"/>
        <v>0</v>
      </c>
    </row>
    <row r="29" spans="1:16" x14ac:dyDescent="0.25">
      <c r="C29" s="10"/>
      <c r="D29" s="3">
        <f t="shared" si="2"/>
        <v>0</v>
      </c>
      <c r="E29" s="3">
        <f t="shared" si="3"/>
        <v>0</v>
      </c>
      <c r="G29">
        <f t="shared" si="4"/>
        <v>330</v>
      </c>
      <c r="H29">
        <v>120</v>
      </c>
      <c r="J29" s="6">
        <f t="shared" si="0"/>
        <v>0</v>
      </c>
      <c r="K29" s="6">
        <f t="shared" si="1"/>
        <v>0</v>
      </c>
    </row>
    <row r="30" spans="1:16" x14ac:dyDescent="0.25">
      <c r="C30" s="10"/>
      <c r="D30" s="3">
        <f t="shared" si="2"/>
        <v>0</v>
      </c>
      <c r="E30" s="3">
        <f t="shared" si="3"/>
        <v>0</v>
      </c>
      <c r="G30">
        <f t="shared" si="4"/>
        <v>90</v>
      </c>
      <c r="H30">
        <v>120</v>
      </c>
      <c r="J30" s="6">
        <f t="shared" si="0"/>
        <v>0</v>
      </c>
      <c r="K30" s="6">
        <f t="shared" si="1"/>
        <v>0</v>
      </c>
    </row>
    <row r="31" spans="1:16" x14ac:dyDescent="0.25">
      <c r="C31" s="10"/>
      <c r="D31" s="3">
        <f t="shared" si="2"/>
        <v>0</v>
      </c>
      <c r="E31" s="3">
        <f t="shared" si="3"/>
        <v>0</v>
      </c>
      <c r="G31">
        <f t="shared" si="4"/>
        <v>210</v>
      </c>
      <c r="H31">
        <v>120</v>
      </c>
      <c r="J31" s="6">
        <f t="shared" si="0"/>
        <v>0</v>
      </c>
      <c r="K31" s="6">
        <f t="shared" si="1"/>
        <v>0</v>
      </c>
    </row>
    <row r="32" spans="1:16" x14ac:dyDescent="0.25">
      <c r="C32" s="10"/>
      <c r="D32" s="3">
        <f t="shared" si="2"/>
        <v>0</v>
      </c>
      <c r="E32" s="3">
        <f t="shared" si="3"/>
        <v>0</v>
      </c>
      <c r="G32">
        <f t="shared" si="4"/>
        <v>330</v>
      </c>
      <c r="H32">
        <v>120</v>
      </c>
      <c r="J32" s="6">
        <f t="shared" si="0"/>
        <v>0</v>
      </c>
      <c r="K32" s="6">
        <f t="shared" si="1"/>
        <v>0</v>
      </c>
    </row>
    <row r="33" spans="3:11" x14ac:dyDescent="0.25">
      <c r="C33" s="10"/>
      <c r="D33" s="3">
        <f t="shared" si="2"/>
        <v>0</v>
      </c>
      <c r="E33" s="3">
        <f t="shared" si="3"/>
        <v>0</v>
      </c>
      <c r="G33">
        <f t="shared" si="4"/>
        <v>90</v>
      </c>
      <c r="H33">
        <v>120</v>
      </c>
      <c r="J33" s="6">
        <f t="shared" si="0"/>
        <v>0</v>
      </c>
      <c r="K33" s="6">
        <f t="shared" si="1"/>
        <v>0</v>
      </c>
    </row>
    <row r="34" spans="3:11" x14ac:dyDescent="0.25">
      <c r="C34" s="10"/>
      <c r="D34" s="3">
        <f t="shared" si="2"/>
        <v>0</v>
      </c>
      <c r="E34" s="3">
        <f t="shared" si="3"/>
        <v>0</v>
      </c>
      <c r="G34">
        <f t="shared" si="4"/>
        <v>210</v>
      </c>
      <c r="H34">
        <v>120</v>
      </c>
      <c r="J34" s="6">
        <f t="shared" si="0"/>
        <v>0</v>
      </c>
      <c r="K34" s="6">
        <f t="shared" si="1"/>
        <v>0</v>
      </c>
    </row>
    <row r="35" spans="3:11" x14ac:dyDescent="0.25">
      <c r="C35" s="10"/>
      <c r="D35" s="3">
        <f t="shared" si="2"/>
        <v>0</v>
      </c>
      <c r="E35" s="3">
        <f t="shared" si="3"/>
        <v>0</v>
      </c>
      <c r="G35">
        <f t="shared" si="4"/>
        <v>330</v>
      </c>
      <c r="H35">
        <v>120</v>
      </c>
      <c r="J35" s="6">
        <f t="shared" si="0"/>
        <v>0</v>
      </c>
      <c r="K35" s="6">
        <f t="shared" si="1"/>
        <v>0</v>
      </c>
    </row>
    <row r="36" spans="3:11" x14ac:dyDescent="0.25">
      <c r="C36" s="10"/>
      <c r="D36" s="3">
        <f t="shared" si="2"/>
        <v>0</v>
      </c>
      <c r="E36" s="3">
        <f t="shared" si="3"/>
        <v>0</v>
      </c>
    </row>
    <row r="37" spans="3:11" x14ac:dyDescent="0.25">
      <c r="C37" s="10"/>
      <c r="D37" s="3">
        <f t="shared" si="2"/>
        <v>0</v>
      </c>
      <c r="E37" s="3">
        <f t="shared" si="3"/>
        <v>0</v>
      </c>
    </row>
    <row r="38" spans="3:11" x14ac:dyDescent="0.25">
      <c r="C38" s="10"/>
      <c r="D38" s="3">
        <f t="shared" si="2"/>
        <v>0</v>
      </c>
      <c r="E38" s="3">
        <f t="shared" si="3"/>
        <v>0</v>
      </c>
    </row>
    <row r="39" spans="3:11" x14ac:dyDescent="0.25">
      <c r="C39" s="10"/>
      <c r="D39" s="3">
        <f t="shared" si="2"/>
        <v>0</v>
      </c>
      <c r="E39" s="3">
        <f t="shared" si="3"/>
        <v>0</v>
      </c>
    </row>
    <row r="40" spans="3:11" x14ac:dyDescent="0.25">
      <c r="C40" s="10"/>
      <c r="D40" s="3">
        <f t="shared" si="2"/>
        <v>0</v>
      </c>
      <c r="E40" s="3">
        <f t="shared" si="3"/>
        <v>0</v>
      </c>
    </row>
    <row r="41" spans="3:11" x14ac:dyDescent="0.25">
      <c r="C41" s="10"/>
      <c r="D41" s="3">
        <f t="shared" si="2"/>
        <v>0</v>
      </c>
      <c r="E41" s="3">
        <f t="shared" si="3"/>
        <v>0</v>
      </c>
    </row>
    <row r="42" spans="3:11" x14ac:dyDescent="0.25">
      <c r="C42" s="10"/>
      <c r="D42" s="3">
        <f t="shared" si="2"/>
        <v>0</v>
      </c>
      <c r="E42" s="3">
        <f t="shared" si="3"/>
        <v>0</v>
      </c>
    </row>
    <row r="43" spans="3:11" x14ac:dyDescent="0.25">
      <c r="C43" s="10"/>
      <c r="D43" s="3">
        <f t="shared" si="2"/>
        <v>0</v>
      </c>
      <c r="E43" s="3">
        <f t="shared" si="3"/>
        <v>0</v>
      </c>
    </row>
    <row r="44" spans="3:11" x14ac:dyDescent="0.25">
      <c r="C44" s="10"/>
      <c r="D44" s="3">
        <f t="shared" si="2"/>
        <v>0</v>
      </c>
      <c r="E44" s="3">
        <f t="shared" si="3"/>
        <v>0</v>
      </c>
    </row>
    <row r="45" spans="3:11" x14ac:dyDescent="0.25">
      <c r="C45" s="10"/>
      <c r="D45" s="3">
        <f t="shared" si="2"/>
        <v>0</v>
      </c>
      <c r="E45" s="3">
        <f t="shared" si="3"/>
        <v>0</v>
      </c>
    </row>
    <row r="46" spans="3:11" x14ac:dyDescent="0.25">
      <c r="C46" s="10"/>
      <c r="D46" s="3">
        <f t="shared" si="2"/>
        <v>0</v>
      </c>
      <c r="E46" s="3">
        <f t="shared" si="3"/>
        <v>0</v>
      </c>
    </row>
    <row r="47" spans="3:11" x14ac:dyDescent="0.25">
      <c r="C47" s="10"/>
      <c r="D47" s="3">
        <f t="shared" si="2"/>
        <v>0</v>
      </c>
      <c r="E47" s="3">
        <f t="shared" si="3"/>
        <v>0</v>
      </c>
    </row>
    <row r="48" spans="3:11" x14ac:dyDescent="0.25">
      <c r="C48" s="10"/>
      <c r="D48" s="3">
        <f t="shared" si="2"/>
        <v>0</v>
      </c>
      <c r="E48" s="3">
        <f t="shared" si="3"/>
        <v>0</v>
      </c>
    </row>
    <row r="49" spans="3:5" x14ac:dyDescent="0.25">
      <c r="C49" s="10"/>
      <c r="D49" s="3">
        <f t="shared" si="2"/>
        <v>0</v>
      </c>
      <c r="E49" s="3">
        <f t="shared" si="3"/>
        <v>0</v>
      </c>
    </row>
    <row r="50" spans="3:5" x14ac:dyDescent="0.25">
      <c r="C50" s="10"/>
      <c r="D50" s="3">
        <f t="shared" si="2"/>
        <v>0</v>
      </c>
      <c r="E50" s="3">
        <f t="shared" si="3"/>
        <v>0</v>
      </c>
    </row>
    <row r="51" spans="3:5" x14ac:dyDescent="0.25">
      <c r="C51" s="10"/>
      <c r="D51" s="3">
        <f t="shared" si="2"/>
        <v>0</v>
      </c>
      <c r="E51" s="3">
        <f t="shared" si="3"/>
        <v>0</v>
      </c>
    </row>
    <row r="52" spans="3:5" x14ac:dyDescent="0.25">
      <c r="C52" s="10"/>
      <c r="D52" s="3">
        <f t="shared" si="2"/>
        <v>0</v>
      </c>
      <c r="E52" s="3">
        <f t="shared" si="3"/>
        <v>0</v>
      </c>
    </row>
    <row r="53" spans="3:5" x14ac:dyDescent="0.25">
      <c r="C53" s="10"/>
      <c r="D53" s="3">
        <f t="shared" si="2"/>
        <v>0</v>
      </c>
      <c r="E53" s="3">
        <f t="shared" si="3"/>
        <v>0</v>
      </c>
    </row>
    <row r="54" spans="3:5" x14ac:dyDescent="0.25">
      <c r="C54" s="10"/>
      <c r="D54" s="3">
        <f t="shared" si="2"/>
        <v>0</v>
      </c>
      <c r="E54" s="3">
        <f t="shared" si="3"/>
        <v>0</v>
      </c>
    </row>
    <row r="55" spans="3:5" x14ac:dyDescent="0.25">
      <c r="C55" s="10"/>
      <c r="D55" s="3">
        <f t="shared" si="2"/>
        <v>0</v>
      </c>
      <c r="E55" s="3">
        <f t="shared" si="3"/>
        <v>0</v>
      </c>
    </row>
    <row r="56" spans="3:5" x14ac:dyDescent="0.25">
      <c r="C56" s="10"/>
      <c r="D56" s="3">
        <f t="shared" si="2"/>
        <v>0</v>
      </c>
      <c r="E56" s="3">
        <f t="shared" si="3"/>
        <v>0</v>
      </c>
    </row>
    <row r="57" spans="3:5" x14ac:dyDescent="0.25">
      <c r="C57" s="10"/>
      <c r="D57" s="3">
        <f t="shared" si="2"/>
        <v>0</v>
      </c>
      <c r="E57" s="3">
        <f t="shared" si="3"/>
        <v>0</v>
      </c>
    </row>
    <row r="58" spans="3:5" x14ac:dyDescent="0.25">
      <c r="C58" s="10"/>
      <c r="D58" s="3">
        <f t="shared" si="2"/>
        <v>0</v>
      </c>
      <c r="E58" s="3">
        <f t="shared" si="3"/>
        <v>0</v>
      </c>
    </row>
    <row r="59" spans="3:5" x14ac:dyDescent="0.25">
      <c r="C59" s="10"/>
      <c r="D59" s="3">
        <f t="shared" si="2"/>
        <v>0</v>
      </c>
      <c r="E59" s="3">
        <f t="shared" si="3"/>
        <v>0</v>
      </c>
    </row>
    <row r="60" spans="3:5" x14ac:dyDescent="0.25">
      <c r="C60" s="10"/>
      <c r="D60" s="3">
        <f t="shared" si="2"/>
        <v>0</v>
      </c>
      <c r="E60" s="3">
        <f t="shared" si="3"/>
        <v>0</v>
      </c>
    </row>
    <row r="61" spans="3:5" x14ac:dyDescent="0.25">
      <c r="C61" s="10"/>
      <c r="D61" s="3">
        <f t="shared" si="2"/>
        <v>0</v>
      </c>
      <c r="E61" s="3">
        <f t="shared" si="3"/>
        <v>0</v>
      </c>
    </row>
    <row r="62" spans="3:5" x14ac:dyDescent="0.25">
      <c r="C62" s="10"/>
      <c r="D62" s="3">
        <f t="shared" si="2"/>
        <v>0</v>
      </c>
      <c r="E62" s="3">
        <f t="shared" si="3"/>
        <v>0</v>
      </c>
    </row>
    <row r="63" spans="3:5" x14ac:dyDescent="0.25">
      <c r="C63" s="10"/>
      <c r="D63" s="3">
        <f t="shared" si="2"/>
        <v>0</v>
      </c>
      <c r="E63" s="3">
        <f t="shared" si="3"/>
        <v>0</v>
      </c>
    </row>
    <row r="64" spans="3:5" x14ac:dyDescent="0.25">
      <c r="C64" s="10"/>
      <c r="D64" s="3">
        <f t="shared" si="2"/>
        <v>0</v>
      </c>
      <c r="E64" s="3">
        <f t="shared" si="3"/>
        <v>0</v>
      </c>
    </row>
    <row r="65" spans="3:5" x14ac:dyDescent="0.25">
      <c r="C65" s="10"/>
      <c r="D65" s="3">
        <f t="shared" si="2"/>
        <v>0</v>
      </c>
      <c r="E65" s="3">
        <f t="shared" si="3"/>
        <v>0</v>
      </c>
    </row>
    <row r="66" spans="3:5" x14ac:dyDescent="0.25">
      <c r="C66" s="10"/>
      <c r="D66" s="3">
        <f t="shared" si="2"/>
        <v>0</v>
      </c>
      <c r="E66" s="3">
        <f t="shared" si="3"/>
        <v>0</v>
      </c>
    </row>
    <row r="67" spans="3:5" x14ac:dyDescent="0.25">
      <c r="C67" s="10"/>
      <c r="D67" s="3">
        <f t="shared" si="2"/>
        <v>0</v>
      </c>
      <c r="E67" s="3">
        <f t="shared" si="3"/>
        <v>0</v>
      </c>
    </row>
    <row r="68" spans="3:5" x14ac:dyDescent="0.25">
      <c r="C68" s="10"/>
      <c r="D68" s="3">
        <f t="shared" ref="D68:D100" si="8">J67</f>
        <v>0</v>
      </c>
      <c r="E68" s="3">
        <f t="shared" ref="E68:E100" si="9">K67</f>
        <v>0</v>
      </c>
    </row>
    <row r="69" spans="3:5" x14ac:dyDescent="0.25">
      <c r="C69" s="10"/>
      <c r="D69" s="3">
        <f t="shared" si="8"/>
        <v>0</v>
      </c>
      <c r="E69" s="3">
        <f t="shared" si="9"/>
        <v>0</v>
      </c>
    </row>
    <row r="70" spans="3:5" x14ac:dyDescent="0.25">
      <c r="C70" s="10"/>
      <c r="D70" s="3">
        <f t="shared" si="8"/>
        <v>0</v>
      </c>
      <c r="E70" s="3">
        <f t="shared" si="9"/>
        <v>0</v>
      </c>
    </row>
    <row r="71" spans="3:5" x14ac:dyDescent="0.25">
      <c r="C71" s="10"/>
      <c r="D71" s="3">
        <f t="shared" si="8"/>
        <v>0</v>
      </c>
      <c r="E71" s="3">
        <f t="shared" si="9"/>
        <v>0</v>
      </c>
    </row>
    <row r="72" spans="3:5" x14ac:dyDescent="0.25">
      <c r="C72" s="10"/>
      <c r="D72" s="3">
        <f t="shared" si="8"/>
        <v>0</v>
      </c>
      <c r="E72" s="3">
        <f t="shared" si="9"/>
        <v>0</v>
      </c>
    </row>
    <row r="73" spans="3:5" x14ac:dyDescent="0.25">
      <c r="C73" s="10"/>
      <c r="D73" s="3">
        <f t="shared" si="8"/>
        <v>0</v>
      </c>
      <c r="E73" s="3">
        <f t="shared" si="9"/>
        <v>0</v>
      </c>
    </row>
    <row r="74" spans="3:5" x14ac:dyDescent="0.25">
      <c r="C74" s="10"/>
      <c r="D74" s="3">
        <f t="shared" si="8"/>
        <v>0</v>
      </c>
      <c r="E74" s="3">
        <f t="shared" si="9"/>
        <v>0</v>
      </c>
    </row>
    <row r="75" spans="3:5" x14ac:dyDescent="0.25">
      <c r="C75" s="10"/>
      <c r="D75" s="3">
        <f t="shared" si="8"/>
        <v>0</v>
      </c>
      <c r="E75" s="3">
        <f t="shared" si="9"/>
        <v>0</v>
      </c>
    </row>
    <row r="76" spans="3:5" x14ac:dyDescent="0.25">
      <c r="C76" s="10"/>
      <c r="D76" s="3">
        <f t="shared" si="8"/>
        <v>0</v>
      </c>
      <c r="E76" s="3">
        <f t="shared" si="9"/>
        <v>0</v>
      </c>
    </row>
    <row r="77" spans="3:5" x14ac:dyDescent="0.25">
      <c r="C77" s="10"/>
      <c r="D77" s="3">
        <f t="shared" si="8"/>
        <v>0</v>
      </c>
      <c r="E77" s="3">
        <f t="shared" si="9"/>
        <v>0</v>
      </c>
    </row>
    <row r="78" spans="3:5" x14ac:dyDescent="0.25">
      <c r="C78" s="10"/>
      <c r="D78" s="3">
        <f t="shared" si="8"/>
        <v>0</v>
      </c>
      <c r="E78" s="3">
        <f t="shared" si="9"/>
        <v>0</v>
      </c>
    </row>
    <row r="79" spans="3:5" x14ac:dyDescent="0.25">
      <c r="C79" s="10"/>
      <c r="D79" s="3">
        <f t="shared" si="8"/>
        <v>0</v>
      </c>
      <c r="E79" s="3">
        <f t="shared" si="9"/>
        <v>0</v>
      </c>
    </row>
    <row r="80" spans="3:5" x14ac:dyDescent="0.25">
      <c r="C80" s="10"/>
      <c r="D80" s="3">
        <f t="shared" si="8"/>
        <v>0</v>
      </c>
      <c r="E80" s="3">
        <f t="shared" si="9"/>
        <v>0</v>
      </c>
    </row>
    <row r="81" spans="3:5" x14ac:dyDescent="0.25">
      <c r="C81" s="10"/>
      <c r="D81" s="3">
        <f t="shared" si="8"/>
        <v>0</v>
      </c>
      <c r="E81" s="3">
        <f t="shared" si="9"/>
        <v>0</v>
      </c>
    </row>
    <row r="82" spans="3:5" x14ac:dyDescent="0.25">
      <c r="C82" s="10"/>
      <c r="D82" s="3">
        <f t="shared" si="8"/>
        <v>0</v>
      </c>
      <c r="E82" s="3">
        <f t="shared" si="9"/>
        <v>0</v>
      </c>
    </row>
    <row r="83" spans="3:5" x14ac:dyDescent="0.25">
      <c r="C83" s="10"/>
      <c r="D83" s="3">
        <f t="shared" si="8"/>
        <v>0</v>
      </c>
      <c r="E83" s="3">
        <f t="shared" si="9"/>
        <v>0</v>
      </c>
    </row>
    <row r="84" spans="3:5" x14ac:dyDescent="0.25">
      <c r="C84" s="10"/>
      <c r="D84" s="3">
        <f t="shared" si="8"/>
        <v>0</v>
      </c>
      <c r="E84" s="3">
        <f t="shared" si="9"/>
        <v>0</v>
      </c>
    </row>
    <row r="85" spans="3:5" x14ac:dyDescent="0.25">
      <c r="C85" s="10"/>
      <c r="D85" s="3">
        <f t="shared" si="8"/>
        <v>0</v>
      </c>
      <c r="E85" s="3">
        <f t="shared" si="9"/>
        <v>0</v>
      </c>
    </row>
    <row r="86" spans="3:5" x14ac:dyDescent="0.25">
      <c r="C86" s="10"/>
      <c r="D86" s="3">
        <f t="shared" si="8"/>
        <v>0</v>
      </c>
      <c r="E86" s="3">
        <f t="shared" si="9"/>
        <v>0</v>
      </c>
    </row>
    <row r="87" spans="3:5" x14ac:dyDescent="0.25">
      <c r="C87" s="10"/>
      <c r="D87" s="3">
        <f t="shared" si="8"/>
        <v>0</v>
      </c>
      <c r="E87" s="3">
        <f t="shared" si="9"/>
        <v>0</v>
      </c>
    </row>
    <row r="88" spans="3:5" x14ac:dyDescent="0.25">
      <c r="C88" s="10"/>
      <c r="D88" s="3">
        <f t="shared" si="8"/>
        <v>0</v>
      </c>
      <c r="E88" s="3">
        <f t="shared" si="9"/>
        <v>0</v>
      </c>
    </row>
    <row r="89" spans="3:5" x14ac:dyDescent="0.25">
      <c r="C89" s="10"/>
      <c r="D89" s="3">
        <f t="shared" si="8"/>
        <v>0</v>
      </c>
      <c r="E89" s="3">
        <f t="shared" si="9"/>
        <v>0</v>
      </c>
    </row>
    <row r="90" spans="3:5" x14ac:dyDescent="0.25">
      <c r="C90" s="10"/>
      <c r="D90" s="3">
        <f t="shared" si="8"/>
        <v>0</v>
      </c>
      <c r="E90" s="3">
        <f t="shared" si="9"/>
        <v>0</v>
      </c>
    </row>
    <row r="91" spans="3:5" x14ac:dyDescent="0.25">
      <c r="C91" s="10"/>
      <c r="D91" s="3">
        <f t="shared" si="8"/>
        <v>0</v>
      </c>
      <c r="E91" s="3">
        <f t="shared" si="9"/>
        <v>0</v>
      </c>
    </row>
    <row r="92" spans="3:5" x14ac:dyDescent="0.25">
      <c r="C92" s="10"/>
      <c r="D92" s="3">
        <f t="shared" si="8"/>
        <v>0</v>
      </c>
      <c r="E92" s="3">
        <f t="shared" si="9"/>
        <v>0</v>
      </c>
    </row>
    <row r="93" spans="3:5" x14ac:dyDescent="0.25">
      <c r="C93" s="10"/>
      <c r="D93" s="3">
        <f t="shared" si="8"/>
        <v>0</v>
      </c>
      <c r="E93" s="3">
        <f t="shared" si="9"/>
        <v>0</v>
      </c>
    </row>
    <row r="94" spans="3:5" x14ac:dyDescent="0.25">
      <c r="C94" s="10"/>
      <c r="D94" s="3">
        <f t="shared" si="8"/>
        <v>0</v>
      </c>
      <c r="E94" s="3">
        <f t="shared" si="9"/>
        <v>0</v>
      </c>
    </row>
    <row r="95" spans="3:5" x14ac:dyDescent="0.25">
      <c r="C95" s="10"/>
      <c r="D95" s="3">
        <f t="shared" si="8"/>
        <v>0</v>
      </c>
      <c r="E95" s="3">
        <f t="shared" si="9"/>
        <v>0</v>
      </c>
    </row>
    <row r="96" spans="3:5" x14ac:dyDescent="0.25">
      <c r="C96" s="10"/>
      <c r="D96" s="3">
        <f t="shared" si="8"/>
        <v>0</v>
      </c>
      <c r="E96" s="3">
        <f t="shared" si="9"/>
        <v>0</v>
      </c>
    </row>
    <row r="97" spans="3:5" x14ac:dyDescent="0.25">
      <c r="C97" s="10"/>
      <c r="D97" s="3">
        <f t="shared" si="8"/>
        <v>0</v>
      </c>
      <c r="E97" s="3">
        <f t="shared" si="9"/>
        <v>0</v>
      </c>
    </row>
    <row r="98" spans="3:5" x14ac:dyDescent="0.25">
      <c r="C98" s="10"/>
      <c r="D98" s="3">
        <f t="shared" si="8"/>
        <v>0</v>
      </c>
      <c r="E98" s="3">
        <f t="shared" si="9"/>
        <v>0</v>
      </c>
    </row>
    <row r="99" spans="3:5" x14ac:dyDescent="0.25">
      <c r="C99" s="10"/>
      <c r="D99" s="3">
        <f t="shared" si="8"/>
        <v>0</v>
      </c>
      <c r="E99" s="3">
        <f t="shared" si="9"/>
        <v>0</v>
      </c>
    </row>
    <row r="100" spans="3:5" x14ac:dyDescent="0.25">
      <c r="C100" s="10"/>
      <c r="D100" s="3">
        <f t="shared" si="8"/>
        <v>0</v>
      </c>
      <c r="E100" s="3">
        <f t="shared" si="9"/>
        <v>0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StyleMap!$A$2:$A$20</xm:f>
          </x14:formula1>
          <xm:sqref>C2:C100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0"/>
  <sheetViews>
    <sheetView workbookViewId="0">
      <selection activeCell="E28" sqref="E28"/>
    </sheetView>
  </sheetViews>
  <sheetFormatPr defaultRowHeight="15" x14ac:dyDescent="0.25"/>
  <sheetData>
    <row r="1" spans="1:3" x14ac:dyDescent="0.25">
      <c r="A1" t="s">
        <v>0</v>
      </c>
      <c r="B1" t="s">
        <v>17</v>
      </c>
      <c r="C1" t="s">
        <v>18</v>
      </c>
    </row>
    <row r="2" spans="1:3" x14ac:dyDescent="0.25">
      <c r="A2" s="9" t="s">
        <v>44</v>
      </c>
      <c r="B2" s="10" t="s">
        <v>39</v>
      </c>
      <c r="C2" s="10" t="s">
        <v>36</v>
      </c>
    </row>
    <row r="3" spans="1:3" x14ac:dyDescent="0.25">
      <c r="A3" s="9" t="s">
        <v>45</v>
      </c>
      <c r="B3" s="10" t="s">
        <v>37</v>
      </c>
      <c r="C3" s="10" t="s">
        <v>36</v>
      </c>
    </row>
    <row r="4" spans="1:3" x14ac:dyDescent="0.25">
      <c r="A4" s="9" t="s">
        <v>46</v>
      </c>
      <c r="B4" s="10" t="s">
        <v>38</v>
      </c>
      <c r="C4" s="10" t="s">
        <v>36</v>
      </c>
    </row>
    <row r="5" spans="1:3" x14ac:dyDescent="0.25">
      <c r="A5" s="9" t="s">
        <v>47</v>
      </c>
      <c r="B5" s="10" t="s">
        <v>42</v>
      </c>
      <c r="C5" s="10" t="s">
        <v>41</v>
      </c>
    </row>
    <row r="6" spans="1:3" x14ac:dyDescent="0.25">
      <c r="A6" s="9"/>
      <c r="B6" s="10"/>
      <c r="C6" s="10"/>
    </row>
    <row r="7" spans="1:3" x14ac:dyDescent="0.25">
      <c r="A7" s="9"/>
      <c r="B7" s="10"/>
      <c r="C7" s="10"/>
    </row>
    <row r="8" spans="1:3" x14ac:dyDescent="0.25">
      <c r="A8" s="9"/>
      <c r="B8" s="10"/>
      <c r="C8" s="10"/>
    </row>
    <row r="9" spans="1:3" x14ac:dyDescent="0.25">
      <c r="A9" s="9"/>
      <c r="B9" s="10"/>
      <c r="C9" s="10"/>
    </row>
    <row r="10" spans="1:3" x14ac:dyDescent="0.25">
      <c r="A10" s="9"/>
      <c r="B10" s="10"/>
      <c r="C10" s="10"/>
    </row>
    <row r="11" spans="1:3" x14ac:dyDescent="0.25">
      <c r="A11" s="9"/>
      <c r="B11" s="10"/>
      <c r="C11" s="10"/>
    </row>
    <row r="12" spans="1:3" x14ac:dyDescent="0.25">
      <c r="A12" s="9"/>
      <c r="B12" s="10"/>
      <c r="C12" s="10"/>
    </row>
    <row r="13" spans="1:3" x14ac:dyDescent="0.25">
      <c r="A13" s="9"/>
      <c r="B13" s="10"/>
      <c r="C13" s="10"/>
    </row>
    <row r="14" spans="1:3" x14ac:dyDescent="0.25">
      <c r="A14" s="9"/>
      <c r="B14" s="10"/>
      <c r="C14" s="10"/>
    </row>
    <row r="15" spans="1:3" x14ac:dyDescent="0.25">
      <c r="A15" s="9"/>
      <c r="B15" s="10"/>
      <c r="C15" s="10"/>
    </row>
    <row r="16" spans="1:3" x14ac:dyDescent="0.25">
      <c r="A16" s="9"/>
      <c r="B16" s="10"/>
      <c r="C16" s="10"/>
    </row>
    <row r="17" spans="1:3" x14ac:dyDescent="0.25">
      <c r="A17" s="9"/>
      <c r="B17" s="10"/>
      <c r="C17" s="10"/>
    </row>
    <row r="18" spans="1:3" x14ac:dyDescent="0.25">
      <c r="A18" s="9"/>
      <c r="B18" s="10"/>
      <c r="C18" s="10"/>
    </row>
    <row r="19" spans="1:3" x14ac:dyDescent="0.25">
      <c r="A19" s="9"/>
      <c r="B19" s="10"/>
      <c r="C19" s="10"/>
    </row>
    <row r="20" spans="1:3" x14ac:dyDescent="0.25">
      <c r="A20" s="9"/>
      <c r="B20" s="10"/>
      <c r="C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CasStyle!$A$2:$A$20</xm:f>
          </x14:formula1>
          <xm:sqref>B2:C20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workbookViewId="0">
      <selection activeCell="F20" sqref="F20"/>
    </sheetView>
  </sheetViews>
  <sheetFormatPr defaultRowHeight="15" x14ac:dyDescent="0.25"/>
  <cols>
    <col min="5" max="8" width="9.140625" style="13"/>
  </cols>
  <sheetData>
    <row r="1" spans="1:8" x14ac:dyDescent="0.25">
      <c r="A1" t="s">
        <v>0</v>
      </c>
      <c r="B1" t="s">
        <v>19</v>
      </c>
      <c r="C1" t="s">
        <v>20</v>
      </c>
      <c r="D1" t="s">
        <v>21</v>
      </c>
      <c r="E1" s="13" t="s">
        <v>22</v>
      </c>
      <c r="F1" s="13" t="s">
        <v>23</v>
      </c>
      <c r="G1" s="13" t="s">
        <v>24</v>
      </c>
      <c r="H1" s="13" t="s">
        <v>25</v>
      </c>
    </row>
    <row r="2" spans="1:8" x14ac:dyDescent="0.25">
      <c r="A2" s="11" t="s">
        <v>36</v>
      </c>
      <c r="B2" s="1">
        <v>1.2</v>
      </c>
      <c r="C2" s="1" t="s">
        <v>26</v>
      </c>
      <c r="D2" s="7" t="s">
        <v>27</v>
      </c>
      <c r="E2" s="14" t="s">
        <v>28</v>
      </c>
      <c r="F2" s="14">
        <v>1.5</v>
      </c>
      <c r="G2" s="14" t="s">
        <v>29</v>
      </c>
      <c r="H2" s="14" t="s">
        <v>30</v>
      </c>
    </row>
    <row r="3" spans="1:8" x14ac:dyDescent="0.25">
      <c r="A3" s="11" t="s">
        <v>37</v>
      </c>
      <c r="B3" s="1">
        <v>1.2</v>
      </c>
      <c r="C3" s="1" t="s">
        <v>26</v>
      </c>
      <c r="D3" s="7" t="s">
        <v>27</v>
      </c>
      <c r="E3" s="14" t="s">
        <v>32</v>
      </c>
      <c r="G3" s="14" t="s">
        <v>33</v>
      </c>
      <c r="H3" s="14" t="s">
        <v>30</v>
      </c>
    </row>
    <row r="4" spans="1:8" x14ac:dyDescent="0.25">
      <c r="A4" s="11" t="s">
        <v>38</v>
      </c>
      <c r="B4" s="1">
        <v>1.2</v>
      </c>
      <c r="C4" s="1" t="s">
        <v>26</v>
      </c>
      <c r="D4" s="7" t="s">
        <v>27</v>
      </c>
      <c r="E4" s="1" t="s">
        <v>34</v>
      </c>
      <c r="G4" s="14" t="s">
        <v>29</v>
      </c>
      <c r="H4" s="14" t="s">
        <v>30</v>
      </c>
    </row>
    <row r="5" spans="1:8" x14ac:dyDescent="0.25">
      <c r="A5" s="11" t="s">
        <v>39</v>
      </c>
      <c r="B5" s="1">
        <v>1.2</v>
      </c>
      <c r="C5" s="1" t="s">
        <v>26</v>
      </c>
      <c r="D5" s="7" t="s">
        <v>27</v>
      </c>
      <c r="E5" s="1" t="s">
        <v>28</v>
      </c>
      <c r="G5" s="1" t="s">
        <v>29</v>
      </c>
      <c r="H5" s="14" t="s">
        <v>30</v>
      </c>
    </row>
    <row r="6" spans="1:8" x14ac:dyDescent="0.25">
      <c r="A6" s="11" t="s">
        <v>40</v>
      </c>
      <c r="B6" s="1">
        <v>1.2</v>
      </c>
      <c r="C6" s="1" t="s">
        <v>26</v>
      </c>
      <c r="D6" s="7" t="s">
        <v>27</v>
      </c>
      <c r="E6" s="1" t="s">
        <v>34</v>
      </c>
      <c r="F6" s="14">
        <v>1.5</v>
      </c>
      <c r="G6" s="14" t="s">
        <v>29</v>
      </c>
      <c r="H6" s="14" t="s">
        <v>30</v>
      </c>
    </row>
    <row r="7" spans="1:8" x14ac:dyDescent="0.25">
      <c r="A7" s="11" t="s">
        <v>41</v>
      </c>
      <c r="B7" s="1">
        <v>1.2</v>
      </c>
      <c r="C7" s="1" t="s">
        <v>26</v>
      </c>
      <c r="D7" s="7" t="s">
        <v>27</v>
      </c>
      <c r="E7" s="1" t="s">
        <v>35</v>
      </c>
      <c r="F7" s="14">
        <v>1.5</v>
      </c>
      <c r="G7" s="14" t="s">
        <v>29</v>
      </c>
      <c r="H7" s="14" t="s">
        <v>30</v>
      </c>
    </row>
    <row r="8" spans="1:8" x14ac:dyDescent="0.25">
      <c r="A8" s="11" t="s">
        <v>42</v>
      </c>
      <c r="B8" s="1">
        <v>1.2</v>
      </c>
      <c r="C8" s="1" t="s">
        <v>26</v>
      </c>
      <c r="D8" s="7" t="s">
        <v>27</v>
      </c>
      <c r="E8" s="1" t="s">
        <v>35</v>
      </c>
      <c r="F8" s="14"/>
      <c r="G8" s="14" t="s">
        <v>29</v>
      </c>
      <c r="H8" s="14" t="s">
        <v>30</v>
      </c>
    </row>
    <row r="9" spans="1:8" x14ac:dyDescent="0.25">
      <c r="A9" s="11" t="s">
        <v>43</v>
      </c>
      <c r="B9" s="1">
        <v>1.2</v>
      </c>
      <c r="C9" s="1" t="s">
        <v>26</v>
      </c>
      <c r="D9" s="7" t="s">
        <v>27</v>
      </c>
      <c r="E9" s="1" t="s">
        <v>32</v>
      </c>
      <c r="F9" s="14">
        <v>1.5</v>
      </c>
      <c r="G9" s="14" t="s">
        <v>33</v>
      </c>
      <c r="H9" s="14" t="s">
        <v>30</v>
      </c>
    </row>
    <row r="10" spans="1:8" x14ac:dyDescent="0.25">
      <c r="A10" s="11"/>
      <c r="B10" s="1"/>
      <c r="C10" s="1"/>
      <c r="D10" s="7"/>
      <c r="F10" s="14"/>
      <c r="G10" s="14"/>
      <c r="H10" s="14"/>
    </row>
    <row r="11" spans="1:8" x14ac:dyDescent="0.25">
      <c r="A11" s="11"/>
      <c r="B11" s="1"/>
      <c r="C11" s="1"/>
      <c r="D11" s="7"/>
      <c r="F11" s="14"/>
      <c r="G11" s="14"/>
      <c r="H11" s="14"/>
    </row>
    <row r="12" spans="1:8" x14ac:dyDescent="0.25">
      <c r="A12" s="9"/>
    </row>
    <row r="13" spans="1:8" x14ac:dyDescent="0.25">
      <c r="A13" s="9"/>
    </row>
    <row r="14" spans="1:8" x14ac:dyDescent="0.25">
      <c r="A14" s="9"/>
    </row>
    <row r="15" spans="1:8" x14ac:dyDescent="0.25">
      <c r="A15" s="9"/>
    </row>
    <row r="16" spans="1:8" x14ac:dyDescent="0.25">
      <c r="A16" s="9"/>
    </row>
    <row r="17" spans="1:1" x14ac:dyDescent="0.25">
      <c r="A17" s="9"/>
    </row>
    <row r="18" spans="1:1" x14ac:dyDescent="0.25">
      <c r="A18" s="9"/>
    </row>
    <row r="19" spans="1:1" x14ac:dyDescent="0.25">
      <c r="A19" s="9"/>
    </row>
    <row r="20" spans="1:1" x14ac:dyDescent="0.25">
      <c r="A2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StyleMap</vt:lpstr>
      <vt:lpstr>CasStyle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2024-05-13T03:42:03Z</dcterms:modified>
</cp:coreProperties>
</file>