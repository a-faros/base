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53582\Documents\GitHub\base\"/>
    </mc:Choice>
  </mc:AlternateContent>
  <bookViews>
    <workbookView xWindow="0" yWindow="0" windowWidth="14160" windowHeight="7080"/>
  </bookViews>
  <sheets>
    <sheet name="svg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9" i="1" l="1"/>
  <c r="N38" i="1"/>
  <c r="N37" i="1"/>
  <c r="N36" i="1"/>
  <c r="N34" i="1"/>
  <c r="N33" i="1"/>
  <c r="N32" i="1"/>
  <c r="N31" i="1"/>
  <c r="N29" i="1"/>
  <c r="N28" i="1"/>
  <c r="N27" i="1"/>
  <c r="N24" i="1"/>
  <c r="N23" i="1"/>
  <c r="N22" i="1"/>
  <c r="N21" i="1"/>
  <c r="N19" i="1"/>
  <c r="N18" i="1"/>
  <c r="N17" i="1"/>
  <c r="N14" i="1"/>
  <c r="N13" i="1"/>
  <c r="N12" i="1"/>
  <c r="N9" i="1"/>
  <c r="N8" i="1"/>
  <c r="N7" i="1"/>
  <c r="N6" i="1"/>
  <c r="N4" i="1"/>
  <c r="N3" i="1"/>
  <c r="N2" i="1"/>
  <c r="L7" i="1"/>
  <c r="L8" i="1" s="1"/>
  <c r="L9" i="1" s="1"/>
  <c r="K7" i="1"/>
  <c r="K8" i="1" s="1"/>
  <c r="K9" i="1" s="1"/>
  <c r="L22" i="1"/>
  <c r="L23" i="1" s="1"/>
  <c r="L24" i="1" s="1"/>
  <c r="K22" i="1"/>
  <c r="K23" i="1" s="1"/>
  <c r="K18" i="1"/>
  <c r="K28" i="1" s="1"/>
  <c r="L18" i="1"/>
  <c r="L19" i="1" s="1"/>
  <c r="K24" i="1" l="1"/>
  <c r="L28" i="1"/>
  <c r="L29" i="1"/>
  <c r="K19" i="1"/>
  <c r="K29" i="1" l="1"/>
</calcChain>
</file>

<file path=xl/sharedStrings.xml><?xml version="1.0" encoding="utf-8"?>
<sst xmlns="http://schemas.openxmlformats.org/spreadsheetml/2006/main" count="68" uniqueCount="17">
  <si>
    <t>m</t>
  </si>
  <si>
    <t>l</t>
  </si>
  <si>
    <t>z</t>
  </si>
  <si>
    <t>Z</t>
  </si>
  <si>
    <t>00607E</t>
  </si>
  <si>
    <t>4A4A4A</t>
  </si>
  <si>
    <t>A5A5A5</t>
  </si>
  <si>
    <t xml:space="preserve">&lt;path fill="#%1" d="%2"&gt;&lt;/path&gt;
</t>
  </si>
  <si>
    <t>bites</t>
  </si>
  <si>
    <t>kuih</t>
  </si>
  <si>
    <t>souqport</t>
  </si>
  <si>
    <t>duittepi</t>
  </si>
  <si>
    <t>&lt;svg viewBox="0 0 20 20" xmlns="http://www.w3.org/2000/svg"&gt;&lt;path fill="#00607E" d="M17.06 2.06, L14.64 8.18, L9.66 5.16, Z M14.82 8.4, L15.76 10.98, L18.26 4.72, L17.34 2.12, Z"&gt;&lt;/path&gt;
&lt;path fill="#4A4A4A" d="M9.42 5.36, L14.36 8.38, L7 11.44, Z"&gt;&lt;/path&gt;
&lt;path fill="#A5A5A5" d="M9.08 5.4, L6.66 11.52, L1.68 8.5, Z M1.54 8.74, L2.42 11.3, L7.5 14.42, L6.62 11.86, Z"&gt;&lt;/path&gt;
&lt;/svg&gt;</t>
  </si>
  <si>
    <t>a5a5a5</t>
  </si>
  <si>
    <t>a4a4a4</t>
  </si>
  <si>
    <t>e3e3e3</t>
  </si>
  <si>
    <t>f4f4f4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</si>
</sst>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7E60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  <color rgb="FF4A4A4A"/>
      <color rgb="FFA5A5A5"/>
      <color rgb="FF7E6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"/>
  <sheetViews>
    <sheetView tabSelected="1" workbookViewId="0">
      <selection activeCell="F2" sqref="F2"/>
    </sheetView>
  </sheetViews>
  <sheetFormatPr defaultRowHeight="15" x14ac:dyDescent="0.25"/>
  <cols>
    <col min="5" max="5" width="10.85546875" bestFit="1" customWidth="1"/>
    <col min="14" max="14" width="10.85546875" bestFit="1" customWidth="1"/>
  </cols>
  <sheetData>
    <row r="1" spans="1:15" x14ac:dyDescent="0.25">
      <c r="A1">
        <v>20</v>
      </c>
      <c r="B1">
        <v>20</v>
      </c>
      <c r="E1" t="s">
        <v>8</v>
      </c>
      <c r="F1" t="s">
        <v>9</v>
      </c>
      <c r="G1" t="s">
        <v>11</v>
      </c>
      <c r="H1" t="s">
        <v>10</v>
      </c>
    </row>
    <row r="2" spans="1:15" x14ac:dyDescent="0.25">
      <c r="A2" t="s">
        <v>8</v>
      </c>
      <c r="B2" s="5" t="s">
        <v>12</v>
      </c>
      <c r="E2" s="2" t="s">
        <v>4</v>
      </c>
      <c r="F2" t="s">
        <v>13</v>
      </c>
      <c r="G2" t="s">
        <v>14</v>
      </c>
      <c r="H2" t="s">
        <v>15</v>
      </c>
      <c r="J2" t="s">
        <v>0</v>
      </c>
      <c r="K2">
        <v>853</v>
      </c>
      <c r="L2">
        <v>103</v>
      </c>
      <c r="N2" t="str">
        <f>UPPER(J2)&amp;(K2/1000*$A$1)&amp;" "&amp;(L2/1000*$B$1)&amp;","</f>
        <v>M17.06 2.06,</v>
      </c>
      <c r="O2" s="5" t="s">
        <v>7</v>
      </c>
    </row>
    <row r="3" spans="1:15" x14ac:dyDescent="0.25">
      <c r="A3" t="s">
        <v>9</v>
      </c>
      <c r="J3" t="s">
        <v>1</v>
      </c>
      <c r="K3">
        <v>732</v>
      </c>
      <c r="L3">
        <v>409</v>
      </c>
      <c r="N3" t="str">
        <f>UPPER(J3)&amp;(K3/1000*$A$1)&amp;" "&amp;(L3/1000*$B$1)&amp;","</f>
        <v>L14.64 8.18,</v>
      </c>
    </row>
    <row r="4" spans="1:15" x14ac:dyDescent="0.25">
      <c r="A4" t="s">
        <v>11</v>
      </c>
      <c r="J4" t="s">
        <v>1</v>
      </c>
      <c r="K4">
        <v>483</v>
      </c>
      <c r="L4">
        <v>258</v>
      </c>
      <c r="N4" t="str">
        <f>UPPER(J4)&amp;(K4/1000*$A$1)&amp;" "&amp;(L4/1000*$B$1)&amp;","</f>
        <v>L9.66 5.16,</v>
      </c>
    </row>
    <row r="5" spans="1:15" x14ac:dyDescent="0.25">
      <c r="A5" t="s">
        <v>10</v>
      </c>
      <c r="J5" t="s">
        <v>2</v>
      </c>
      <c r="N5" t="s">
        <v>3</v>
      </c>
    </row>
    <row r="6" spans="1:15" x14ac:dyDescent="0.25">
      <c r="J6" t="s">
        <v>0</v>
      </c>
      <c r="K6">
        <v>741</v>
      </c>
      <c r="L6">
        <v>420</v>
      </c>
      <c r="N6" t="str">
        <f>UPPER(J6)&amp;(K6/1000*$A$1)&amp;" "&amp;(L6/1000*$B$1)&amp;","</f>
        <v>M14.82 8.4,</v>
      </c>
    </row>
    <row r="7" spans="1:15" x14ac:dyDescent="0.25">
      <c r="J7" t="s">
        <v>1</v>
      </c>
      <c r="K7">
        <f>K6-K36+K37</f>
        <v>788</v>
      </c>
      <c r="L7">
        <f>L6-L36+L37</f>
        <v>549</v>
      </c>
      <c r="N7" t="str">
        <f>UPPER(J7)&amp;(K7/1000*$A$1)&amp;" "&amp;(L7/1000*$B$1)&amp;","</f>
        <v>L15.76 10.98,</v>
      </c>
    </row>
    <row r="8" spans="1:15" x14ac:dyDescent="0.25">
      <c r="J8" t="s">
        <v>1</v>
      </c>
      <c r="K8">
        <f>K7-K37+K38</f>
        <v>913</v>
      </c>
      <c r="L8">
        <f>L7-L37+L38</f>
        <v>236</v>
      </c>
      <c r="N8" t="str">
        <f>UPPER(J8)&amp;(K8/1000*$A$1)&amp;" "&amp;(L8/1000*$B$1)&amp;","</f>
        <v>L18.26 4.72,</v>
      </c>
    </row>
    <row r="9" spans="1:15" x14ac:dyDescent="0.25">
      <c r="J9" t="s">
        <v>1</v>
      </c>
      <c r="K9">
        <f>K8-K38+K39</f>
        <v>867</v>
      </c>
      <c r="L9">
        <f>L8-L38+L39</f>
        <v>106</v>
      </c>
      <c r="N9" t="str">
        <f>UPPER(J9)&amp;(K9/1000*$A$1)&amp;" "&amp;(L9/1000*$B$1)&amp;","</f>
        <v>L17.34 2.12,</v>
      </c>
    </row>
    <row r="10" spans="1:15" x14ac:dyDescent="0.25">
      <c r="J10" t="s">
        <v>2</v>
      </c>
      <c r="N10" t="s">
        <v>3</v>
      </c>
    </row>
    <row r="12" spans="1:15" x14ac:dyDescent="0.25">
      <c r="E12" s="4" t="s">
        <v>5</v>
      </c>
      <c r="F12" t="s">
        <v>14</v>
      </c>
      <c r="G12" t="s">
        <v>15</v>
      </c>
      <c r="H12" t="s">
        <v>16</v>
      </c>
      <c r="J12" t="s">
        <v>0</v>
      </c>
      <c r="K12">
        <v>471</v>
      </c>
      <c r="L12">
        <v>268</v>
      </c>
      <c r="N12" t="str">
        <f>UPPER(J12)&amp;(K12/1000*$A$1)&amp;" "&amp;(L12/1000*$B$1)&amp;","</f>
        <v>M9.42 5.36,</v>
      </c>
      <c r="O12" s="5" t="s">
        <v>7</v>
      </c>
    </row>
    <row r="13" spans="1:15" x14ac:dyDescent="0.25">
      <c r="J13" t="s">
        <v>1</v>
      </c>
      <c r="K13">
        <v>718</v>
      </c>
      <c r="L13">
        <v>419</v>
      </c>
      <c r="N13" t="str">
        <f>UPPER(J13)&amp;(K13/1000*$A$1)&amp;" "&amp;(L13/1000*$B$1)&amp;","</f>
        <v>L14.36 8.38,</v>
      </c>
    </row>
    <row r="14" spans="1:15" x14ac:dyDescent="0.25">
      <c r="J14" t="s">
        <v>1</v>
      </c>
      <c r="K14">
        <v>350</v>
      </c>
      <c r="L14">
        <v>572</v>
      </c>
      <c r="N14" t="str">
        <f>UPPER(J14)&amp;(K14/1000*$A$1)&amp;" "&amp;(L14/1000*$B$1)&amp;","</f>
        <v>L7 11.44,</v>
      </c>
    </row>
    <row r="15" spans="1:15" x14ac:dyDescent="0.25">
      <c r="J15" t="s">
        <v>2</v>
      </c>
      <c r="N15" t="s">
        <v>3</v>
      </c>
    </row>
    <row r="17" spans="5:15" x14ac:dyDescent="0.25">
      <c r="E17" s="3" t="s">
        <v>6</v>
      </c>
      <c r="F17" t="s">
        <v>15</v>
      </c>
      <c r="G17" t="s">
        <v>16</v>
      </c>
      <c r="H17" s="6"/>
      <c r="J17" t="s">
        <v>0</v>
      </c>
      <c r="K17">
        <v>454</v>
      </c>
      <c r="L17">
        <v>270</v>
      </c>
      <c r="N17" t="str">
        <f>UPPER(J17)&amp;(K17/1000*$A$1)&amp;" "&amp;(L17/1000*$B$1)&amp;","</f>
        <v>M9.08 5.4,</v>
      </c>
      <c r="O17" s="5" t="s">
        <v>7</v>
      </c>
    </row>
    <row r="18" spans="5:15" x14ac:dyDescent="0.25">
      <c r="J18" t="s">
        <v>1</v>
      </c>
      <c r="K18">
        <f>K17-K2+K3</f>
        <v>333</v>
      </c>
      <c r="L18">
        <f>L17-L2+L3</f>
        <v>576</v>
      </c>
      <c r="N18" t="str">
        <f>UPPER(J18)&amp;(K18/1000*$A$1)&amp;" "&amp;(L18/1000*$B$1)&amp;","</f>
        <v>L6.66 11.52,</v>
      </c>
    </row>
    <row r="19" spans="5:15" x14ac:dyDescent="0.25">
      <c r="J19" t="s">
        <v>1</v>
      </c>
      <c r="K19">
        <f>K18-K3+K4</f>
        <v>84</v>
      </c>
      <c r="L19">
        <f>L18-L3+L4</f>
        <v>425</v>
      </c>
      <c r="N19" t="str">
        <f>UPPER(J19)&amp;(K19/1000*$A$1)&amp;" "&amp;(L19/1000*$B$1)&amp;","</f>
        <v>L1.68 8.5,</v>
      </c>
    </row>
    <row r="20" spans="5:15" x14ac:dyDescent="0.25">
      <c r="J20" t="s">
        <v>2</v>
      </c>
      <c r="N20" t="s">
        <v>3</v>
      </c>
    </row>
    <row r="21" spans="5:15" x14ac:dyDescent="0.25">
      <c r="J21" t="s">
        <v>0</v>
      </c>
      <c r="K21">
        <v>77</v>
      </c>
      <c r="L21">
        <v>437</v>
      </c>
      <c r="N21" t="str">
        <f>UPPER(J21)&amp;(K21/1000*$A$1)&amp;" "&amp;(L21/1000*$B$1)&amp;","</f>
        <v>M1.54 8.74,</v>
      </c>
    </row>
    <row r="22" spans="5:15" x14ac:dyDescent="0.25">
      <c r="J22" t="s">
        <v>1</v>
      </c>
      <c r="K22">
        <f>K21-K31+K32</f>
        <v>121</v>
      </c>
      <c r="L22">
        <f>L21-L31+L32</f>
        <v>565</v>
      </c>
      <c r="N22" t="str">
        <f>UPPER(J22)&amp;(K22/1000*$A$1)&amp;" "&amp;(L22/1000*$B$1)&amp;","</f>
        <v>L2.42 11.3,</v>
      </c>
    </row>
    <row r="23" spans="5:15" x14ac:dyDescent="0.25">
      <c r="J23" t="s">
        <v>1</v>
      </c>
      <c r="K23">
        <f>K22-K32+K33</f>
        <v>375</v>
      </c>
      <c r="L23">
        <f>L22-L32+L33</f>
        <v>721</v>
      </c>
      <c r="N23" t="str">
        <f>UPPER(J23)&amp;(K23/1000*$A$1)&amp;" "&amp;(L23/1000*$B$1)&amp;","</f>
        <v>L7.5 14.42,</v>
      </c>
    </row>
    <row r="24" spans="5:15" x14ac:dyDescent="0.25">
      <c r="J24" t="s">
        <v>1</v>
      </c>
      <c r="K24">
        <f>K23-K33+K34</f>
        <v>331</v>
      </c>
      <c r="L24">
        <f>L23-L33+L34</f>
        <v>593</v>
      </c>
      <c r="N24" t="str">
        <f>UPPER(J24)&amp;(K24/1000*$A$1)&amp;" "&amp;(L24/1000*$B$1)&amp;","</f>
        <v>L6.62 11.86,</v>
      </c>
    </row>
    <row r="25" spans="5:15" x14ac:dyDescent="0.25">
      <c r="J25" t="s">
        <v>2</v>
      </c>
      <c r="N25" t="s">
        <v>3</v>
      </c>
    </row>
    <row r="27" spans="5:15" x14ac:dyDescent="0.25">
      <c r="E27" s="1">
        <v>0</v>
      </c>
      <c r="F27" s="1">
        <v>0</v>
      </c>
      <c r="G27" s="1">
        <v>0</v>
      </c>
      <c r="H27" s="1">
        <v>0</v>
      </c>
      <c r="J27" t="s">
        <v>0</v>
      </c>
      <c r="K27">
        <v>723</v>
      </c>
      <c r="L27">
        <v>432</v>
      </c>
      <c r="N27" t="str">
        <f>UPPER(J27)&amp;(K27/1000*$A$1)&amp;" "&amp;(L27/1000*$B$1)&amp;","</f>
        <v>M14.46 8.64,</v>
      </c>
      <c r="O27" s="5" t="s">
        <v>7</v>
      </c>
    </row>
    <row r="28" spans="5:15" x14ac:dyDescent="0.25">
      <c r="J28" t="s">
        <v>1</v>
      </c>
      <c r="K28">
        <f>K27-K17+K18</f>
        <v>602</v>
      </c>
      <c r="L28">
        <f>L27-L17+L18</f>
        <v>738</v>
      </c>
      <c r="N28" t="str">
        <f>UPPER(J28)&amp;(K28/1000*$A$1)&amp;" "&amp;(L28/1000*$B$1)&amp;","</f>
        <v>L12.04 14.76,</v>
      </c>
    </row>
    <row r="29" spans="5:15" x14ac:dyDescent="0.25">
      <c r="J29" t="s">
        <v>1</v>
      </c>
      <c r="K29">
        <f>K28-K18+K19</f>
        <v>353</v>
      </c>
      <c r="L29">
        <f>L28-L18+L19</f>
        <v>587</v>
      </c>
      <c r="N29" t="str">
        <f>UPPER(J29)&amp;(K29/1000*$A$1)&amp;" "&amp;(L29/1000*$B$1)&amp;","</f>
        <v>L7.06 11.74,</v>
      </c>
    </row>
    <row r="30" spans="5:15" x14ac:dyDescent="0.25">
      <c r="J30" t="s">
        <v>2</v>
      </c>
      <c r="N30" t="s">
        <v>3</v>
      </c>
    </row>
    <row r="31" spans="5:15" x14ac:dyDescent="0.25">
      <c r="J31" t="s">
        <v>0</v>
      </c>
      <c r="K31">
        <v>346</v>
      </c>
      <c r="L31">
        <v>601</v>
      </c>
      <c r="N31" t="str">
        <f>UPPER(J31)&amp;(K31/1000*$A$1)&amp;" "&amp;(L31/1000*$B$1)&amp;","</f>
        <v>M6.92 12.02,</v>
      </c>
    </row>
    <row r="32" spans="5:15" x14ac:dyDescent="0.25">
      <c r="J32" t="s">
        <v>1</v>
      </c>
      <c r="K32">
        <v>390</v>
      </c>
      <c r="L32">
        <v>729</v>
      </c>
      <c r="N32" t="str">
        <f>UPPER(J32)&amp;(K32/1000*$A$1)&amp;" "&amp;(L32/1000*$B$1)&amp;","</f>
        <v>L7.8 14.58,</v>
      </c>
    </row>
    <row r="33" spans="10:14" x14ac:dyDescent="0.25">
      <c r="J33" t="s">
        <v>1</v>
      </c>
      <c r="K33">
        <v>644</v>
      </c>
      <c r="L33">
        <v>885</v>
      </c>
      <c r="N33" t="str">
        <f>UPPER(J33)&amp;(K33/1000*$A$1)&amp;" "&amp;(L33/1000*$B$1)&amp;","</f>
        <v>L12.88 17.7,</v>
      </c>
    </row>
    <row r="34" spans="10:14" x14ac:dyDescent="0.25">
      <c r="J34" t="s">
        <v>1</v>
      </c>
      <c r="K34">
        <v>600</v>
      </c>
      <c r="L34">
        <v>757</v>
      </c>
      <c r="N34" t="str">
        <f>UPPER(J34)&amp;(K34/1000*$A$1)&amp;" "&amp;(L34/1000*$B$1)&amp;","</f>
        <v>L12 15.14,</v>
      </c>
    </row>
    <row r="35" spans="10:14" x14ac:dyDescent="0.25">
      <c r="J35" t="s">
        <v>2</v>
      </c>
      <c r="N35" t="s">
        <v>3</v>
      </c>
    </row>
    <row r="36" spans="10:14" x14ac:dyDescent="0.25">
      <c r="J36" t="s">
        <v>0</v>
      </c>
      <c r="K36">
        <v>611</v>
      </c>
      <c r="L36">
        <v>749</v>
      </c>
      <c r="N36" t="str">
        <f>UPPER(J36)&amp;(K36/1000*$A$1)&amp;" "&amp;(L36/1000*$B$1)&amp;","</f>
        <v>M12.22 14.98,</v>
      </c>
    </row>
    <row r="37" spans="10:14" x14ac:dyDescent="0.25">
      <c r="J37" t="s">
        <v>1</v>
      </c>
      <c r="K37">
        <v>658</v>
      </c>
      <c r="L37">
        <v>878</v>
      </c>
      <c r="N37" t="str">
        <f>UPPER(J37)&amp;(K37/1000*$A$1)&amp;" "&amp;(L37/1000*$B$1)&amp;","</f>
        <v>L13.16 17.56,</v>
      </c>
    </row>
    <row r="38" spans="10:14" x14ac:dyDescent="0.25">
      <c r="J38" t="s">
        <v>1</v>
      </c>
      <c r="K38">
        <v>783</v>
      </c>
      <c r="L38">
        <v>565</v>
      </c>
      <c r="N38" t="str">
        <f>UPPER(J38)&amp;(K38/1000*$A$1)&amp;" "&amp;(L38/1000*$B$1)&amp;","</f>
        <v>L15.66 11.3,</v>
      </c>
    </row>
    <row r="39" spans="10:14" x14ac:dyDescent="0.25">
      <c r="J39" t="s">
        <v>1</v>
      </c>
      <c r="K39">
        <v>737</v>
      </c>
      <c r="L39">
        <v>435</v>
      </c>
      <c r="N39" t="str">
        <f>UPPER(J39)&amp;(K39/1000*$A$1)&amp;" "&amp;(L39/1000*$B$1)&amp;","</f>
        <v>L14.74 8.7,</v>
      </c>
    </row>
    <row r="40" spans="10:14" x14ac:dyDescent="0.25">
      <c r="J40" t="s">
        <v>2</v>
      </c>
      <c r="N40" t="s">
        <v>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svg</vt:lpstr>
    </vt:vector>
  </TitlesOfParts>
  <Company>Amkor Technology Malaysia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 Othman</dc:creator>
  <cp:lastModifiedBy>Ahmad Faros Othman</cp:lastModifiedBy>
  <dcterms:created xsi:type="dcterms:W3CDTF">2024-05-28T23:41:04Z</dcterms:created>
  <dcterms:modified xsi:type="dcterms:W3CDTF">2024-05-29T03:20:49Z</dcterms:modified>
</cp:coreProperties>
</file>